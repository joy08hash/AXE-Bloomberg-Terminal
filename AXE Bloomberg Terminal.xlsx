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1.xml" ContentType="application/vnd.ms-office.chartstyle+xml"/>
  <Override PartName="/xl/charts/colors1.xml" ContentType="application/vnd.ms-office.chartcolorstyle+xml"/>
  <Override PartName="/xl/charts/chart9.xml" ContentType="application/vnd.openxmlformats-officedocument.drawingml.chart+xml"/>
  <Override PartName="/xl/charts/style2.xml" ContentType="application/vnd.ms-office.chartstyle+xml"/>
  <Override PartName="/xl/charts/colors2.xml" ContentType="application/vnd.ms-office.chartcolorstyle+xml"/>
  <Override PartName="/xl/charts/chart10.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4.xml" ContentType="application/vnd.ms-office.chartstyle+xml"/>
  <Override PartName="/xl/charts/colors4.xml" ContentType="application/vnd.ms-office.chartcolorstyle+xml"/>
  <Override PartName="/xl/charts/chart12.xml" ContentType="application/vnd.openxmlformats-officedocument.drawingml.chart+xml"/>
  <Override PartName="/xl/charts/style5.xml" ContentType="application/vnd.ms-office.chartstyle+xml"/>
  <Override PartName="/xl/charts/colors5.xml" ContentType="application/vnd.ms-office.chartcolorstyle+xml"/>
  <Override PartName="/xl/charts/chart13.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ghosh\Desktop\Projects\"/>
    </mc:Choice>
  </mc:AlternateContent>
  <xr:revisionPtr revIDLastSave="0" documentId="8_{81942CE6-2C9E-469A-9832-EC64498E8EE7}" xr6:coauthVersionLast="47" xr6:coauthVersionMax="47" xr10:uidLastSave="{00000000-0000-0000-0000-000000000000}"/>
  <bookViews>
    <workbookView xWindow="-110" yWindow="-110" windowWidth="19420" windowHeight="10300" firstSheet="5" activeTab="8" xr2:uid="{00000000-000D-0000-FFFF-FFFF00000000}"/>
  </bookViews>
  <sheets>
    <sheet name="TRADE LEDGER" sheetId="1" r:id="rId1"/>
    <sheet name="BLOOMBERG MAIN" sheetId="2" r:id="rId2"/>
    <sheet name="EQUITY SCREEN" sheetId="3" r:id="rId3"/>
    <sheet name="RISK MONITOR" sheetId="4" r:id="rId4"/>
    <sheet name="MANAGER ALPHA" sheetId="5" r:id="rId5"/>
    <sheet name="SECTOR INTEL" sheetId="6" r:id="rId6"/>
    <sheet name="ALPHA REPORT" sheetId="7" r:id="rId7"/>
    <sheet name="PIVOT ANALYSIS" sheetId="10" r:id="rId8"/>
    <sheet name="EXECUTIVE DASHBOARD" sheetId="11" r:id="rId9"/>
  </sheets>
  <definedNames>
    <definedName name="Slicer_MANAGER">#N/A</definedName>
    <definedName name="Slicer_RISK">#N/A</definedName>
    <definedName name="Slicer_SECTOR">#N/A</definedName>
  </definedNames>
  <calcPr calcId="191029"/>
  <pivotCaches>
    <pivotCache cacheId="9"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B8" i="11" l="1"/>
  <c r="B7" i="11"/>
  <c r="B6" i="11"/>
  <c r="B5" i="11"/>
  <c r="B4" i="11"/>
  <c r="B3" i="11"/>
  <c r="B42" i="10"/>
  <c r="B41" i="10"/>
  <c r="B40" i="10"/>
  <c r="B39" i="10"/>
  <c r="B38" i="10"/>
  <c r="B37" i="10"/>
</calcChain>
</file>

<file path=xl/sharedStrings.xml><?xml version="1.0" encoding="utf-8"?>
<sst xmlns="http://schemas.openxmlformats.org/spreadsheetml/2006/main" count="6797" uniqueCount="1549">
  <si>
    <t xml:space="preserve">  ⬛ AXE CAPITAL MANAGEMENT LLC  |  BLOOMBERG TERMINAL  |  MASTER TRADE LEDGER  |  FY2022-2023</t>
  </si>
  <si>
    <t>TRADE ID</t>
  </si>
  <si>
    <t>DATE</t>
  </si>
  <si>
    <t>TICKER</t>
  </si>
  <si>
    <t>COMPANY</t>
  </si>
  <si>
    <t>SECTOR</t>
  </si>
  <si>
    <t>MANAGER</t>
  </si>
  <si>
    <t>STRATEGY</t>
  </si>
  <si>
    <t>BUY PX</t>
  </si>
  <si>
    <t>SELL PX</t>
  </si>
  <si>
    <t>SHARES</t>
  </si>
  <si>
    <t>CAPITAL($)</t>
  </si>
  <si>
    <t>RETURN($)</t>
  </si>
  <si>
    <t>P&amp;L($)</t>
  </si>
  <si>
    <t>P&amp;L%</t>
  </si>
  <si>
    <t>RISK</t>
  </si>
  <si>
    <t>VOL</t>
  </si>
  <si>
    <t>BETA</t>
  </si>
  <si>
    <t>AXE-0001</t>
  </si>
  <si>
    <t>2022-01-26</t>
  </si>
  <si>
    <t>NVDA</t>
  </si>
  <si>
    <t>NVIDIA Corp.</t>
  </si>
  <si>
    <t>Technology</t>
  </si>
  <si>
    <t>T.Mason</t>
  </si>
  <si>
    <t>Arb</t>
  </si>
  <si>
    <t>LOW</t>
  </si>
  <si>
    <t>AXE-0002</t>
  </si>
  <si>
    <t>2023-03-09</t>
  </si>
  <si>
    <t>CAT</t>
  </si>
  <si>
    <t>Caterpillar</t>
  </si>
  <si>
    <t>Industrials</t>
  </si>
  <si>
    <t>B.Axelrod</t>
  </si>
  <si>
    <t>Long</t>
  </si>
  <si>
    <t>HIGH</t>
  </si>
  <si>
    <t>AXE-0003</t>
  </si>
  <si>
    <t>2023-03-06</t>
  </si>
  <si>
    <t>BA</t>
  </si>
  <si>
    <t>Boeing Co.</t>
  </si>
  <si>
    <t>D.Bill</t>
  </si>
  <si>
    <t>Short</t>
  </si>
  <si>
    <t>AXE-0004</t>
  </si>
  <si>
    <t>2022-12-15</t>
  </si>
  <si>
    <t>LLY</t>
  </si>
  <si>
    <t>Eli Lilly</t>
  </si>
  <si>
    <t>Healthcare</t>
  </si>
  <si>
    <t>MED</t>
  </si>
  <si>
    <t>AXE-0005</t>
  </si>
  <si>
    <t>2023-09-11</t>
  </si>
  <si>
    <t>OXY</t>
  </si>
  <si>
    <t>Occidental Pet.</t>
  </si>
  <si>
    <t>Energy</t>
  </si>
  <si>
    <t>AXE-0006</t>
  </si>
  <si>
    <t>2023-01-06</t>
  </si>
  <si>
    <t>MS</t>
  </si>
  <si>
    <t>Morgan Stanley</t>
  </si>
  <si>
    <t>Financials</t>
  </si>
  <si>
    <t>AXE-0007</t>
  </si>
  <si>
    <t>2023-01-25</t>
  </si>
  <si>
    <t>AXE-0008</t>
  </si>
  <si>
    <t>2023-09-16</t>
  </si>
  <si>
    <t>GOOGL</t>
  </si>
  <si>
    <t>Alphabet Inc.</t>
  </si>
  <si>
    <t>B.Kim</t>
  </si>
  <si>
    <t>AXE-0009</t>
  </si>
  <si>
    <t>2022-08-13</t>
  </si>
  <si>
    <t>Merger Arb</t>
  </si>
  <si>
    <t>AXE-0010</t>
  </si>
  <si>
    <t>2022-11-19</t>
  </si>
  <si>
    <t>AXE-0011</t>
  </si>
  <si>
    <t>2023-07-06</t>
  </si>
  <si>
    <t>AXE-0012</t>
  </si>
  <si>
    <t>2023-05-21</t>
  </si>
  <si>
    <t>NFLX</t>
  </si>
  <si>
    <t>Netflix Inc.</t>
  </si>
  <si>
    <t>Comm.</t>
  </si>
  <si>
    <t>AXE-0013</t>
  </si>
  <si>
    <t>2023-01-26</t>
  </si>
  <si>
    <t>JNJ</t>
  </si>
  <si>
    <t>J&amp;J</t>
  </si>
  <si>
    <t>AXE-0014</t>
  </si>
  <si>
    <t>2022-10-01</t>
  </si>
  <si>
    <t>AXE-0015</t>
  </si>
  <si>
    <t>2023-05-28</t>
  </si>
  <si>
    <t>GS</t>
  </si>
  <si>
    <t>Goldman Sachs</t>
  </si>
  <si>
    <t>AXE-0016</t>
  </si>
  <si>
    <t>2023-01-18</t>
  </si>
  <si>
    <t>META</t>
  </si>
  <si>
    <t>Meta Platforms</t>
  </si>
  <si>
    <t>AXE-0017</t>
  </si>
  <si>
    <t>2022-11-11</t>
  </si>
  <si>
    <t>AXE-0018</t>
  </si>
  <si>
    <t>2023-06-30</t>
  </si>
  <si>
    <t>AXE-0019</t>
  </si>
  <si>
    <t>2023-07-07</t>
  </si>
  <si>
    <t>TSLA</t>
  </si>
  <si>
    <t>Tesla Inc.</t>
  </si>
  <si>
    <t>Cons. Disc.</t>
  </si>
  <si>
    <t>W.Wagner</t>
  </si>
  <si>
    <t>AXE-0020</t>
  </si>
  <si>
    <t>2022-09-11</t>
  </si>
  <si>
    <t>AXE-0021</t>
  </si>
  <si>
    <t>2022-08-23</t>
  </si>
  <si>
    <t>MSFT</t>
  </si>
  <si>
    <t>Microsoft Corp.</t>
  </si>
  <si>
    <t>AXE-0022</t>
  </si>
  <si>
    <t>2023-08-08</t>
  </si>
  <si>
    <t>AXE-0023</t>
  </si>
  <si>
    <t>2023-02-25</t>
  </si>
  <si>
    <t>AXE-0024</t>
  </si>
  <si>
    <t>2022-07-14</t>
  </si>
  <si>
    <t>AXE-0025</t>
  </si>
  <si>
    <t>2022-04-11</t>
  </si>
  <si>
    <t>AXE-0026</t>
  </si>
  <si>
    <t>2023-05-08</t>
  </si>
  <si>
    <t>BLK</t>
  </si>
  <si>
    <t>BlackRock</t>
  </si>
  <si>
    <t>AXE-0027</t>
  </si>
  <si>
    <t>2022-10-20</t>
  </si>
  <si>
    <t>PFE</t>
  </si>
  <si>
    <t>Pfizer Inc.</t>
  </si>
  <si>
    <t>AXE-0028</t>
  </si>
  <si>
    <t>2022-03-04</t>
  </si>
  <si>
    <t>AXE-0029</t>
  </si>
  <si>
    <t>2022-03-24</t>
  </si>
  <si>
    <t>AXE-0030</t>
  </si>
  <si>
    <t>2022-09-10</t>
  </si>
  <si>
    <t>AXE-0031</t>
  </si>
  <si>
    <t>2023-11-17</t>
  </si>
  <si>
    <t>AXE-0032</t>
  </si>
  <si>
    <t>2022-01-10</t>
  </si>
  <si>
    <t>AXE-0033</t>
  </si>
  <si>
    <t>2022-03-12</t>
  </si>
  <si>
    <t>AXE-0034</t>
  </si>
  <si>
    <t>2022-01-09</t>
  </si>
  <si>
    <t>AXE-0035</t>
  </si>
  <si>
    <t>2023-09-12</t>
  </si>
  <si>
    <t>XOM</t>
  </si>
  <si>
    <t>Exxon Mobil</t>
  </si>
  <si>
    <t>AXE-0036</t>
  </si>
  <si>
    <t>2022-04-05</t>
  </si>
  <si>
    <t>AXE-0037</t>
  </si>
  <si>
    <t>2023-07-19</t>
  </si>
  <si>
    <t>AXE-0038</t>
  </si>
  <si>
    <t>2023-01-14</t>
  </si>
  <si>
    <t>AXE-0039</t>
  </si>
  <si>
    <t>2023-01-02</t>
  </si>
  <si>
    <t>AXE-0040</t>
  </si>
  <si>
    <t>2022-08-31</t>
  </si>
  <si>
    <t>AXE-0041</t>
  </si>
  <si>
    <t>JPM</t>
  </si>
  <si>
    <t>JPMorgan Chase</t>
  </si>
  <si>
    <t>AXE-0042</t>
  </si>
  <si>
    <t>2022-12-25</t>
  </si>
  <si>
    <t>AXE-0043</t>
  </si>
  <si>
    <t>2022-12-26</t>
  </si>
  <si>
    <t>AXE-0044</t>
  </si>
  <si>
    <t>2022-02-09</t>
  </si>
  <si>
    <t>AXE-0045</t>
  </si>
  <si>
    <t>2023-01-30</t>
  </si>
  <si>
    <t>AXE-0046</t>
  </si>
  <si>
    <t>2023-01-08</t>
  </si>
  <si>
    <t>AXE-0047</t>
  </si>
  <si>
    <t>2022-11-13</t>
  </si>
  <si>
    <t>AXE-0048</t>
  </si>
  <si>
    <t>2023-11-25</t>
  </si>
  <si>
    <t>AXE-0049</t>
  </si>
  <si>
    <t>2023-08-17</t>
  </si>
  <si>
    <t>AXE-0050</t>
  </si>
  <si>
    <t>2023-11-06</t>
  </si>
  <si>
    <t>AMZN</t>
  </si>
  <si>
    <t>Amazon.com</t>
  </si>
  <si>
    <t>AXE-0051</t>
  </si>
  <si>
    <t>2023-11-20</t>
  </si>
  <si>
    <t>AXE-0052</t>
  </si>
  <si>
    <t>2023-04-12</t>
  </si>
  <si>
    <t>AXE-0053</t>
  </si>
  <si>
    <t>2022-04-20</t>
  </si>
  <si>
    <t>AAPL</t>
  </si>
  <si>
    <t>Apple Inc.</t>
  </si>
  <si>
    <t>AXE-0054</t>
  </si>
  <si>
    <t>2023-04-13</t>
  </si>
  <si>
    <t>AXE-0055</t>
  </si>
  <si>
    <t>2023-06-01</t>
  </si>
  <si>
    <t>AXE-0056</t>
  </si>
  <si>
    <t>2023-10-15</t>
  </si>
  <si>
    <t>AXE-0057</t>
  </si>
  <si>
    <t>2022-12-10</t>
  </si>
  <si>
    <t>AXE-0058</t>
  </si>
  <si>
    <t>2023-03-01</t>
  </si>
  <si>
    <t>AXE-0059</t>
  </si>
  <si>
    <t>2023-12-14</t>
  </si>
  <si>
    <t>AXE-0060</t>
  </si>
  <si>
    <t>AXE-0061</t>
  </si>
  <si>
    <t>2022-06-19</t>
  </si>
  <si>
    <t>AXE-0062</t>
  </si>
  <si>
    <t>2022-05-19</t>
  </si>
  <si>
    <t>AXE-0063</t>
  </si>
  <si>
    <t>2022-10-12</t>
  </si>
  <si>
    <t>AXE-0064</t>
  </si>
  <si>
    <t>2023-10-28</t>
  </si>
  <si>
    <t>AXE-0065</t>
  </si>
  <si>
    <t>2023-04-30</t>
  </si>
  <si>
    <t>AXE-0066</t>
  </si>
  <si>
    <t>2022-06-17</t>
  </si>
  <si>
    <t>AXE-0067</t>
  </si>
  <si>
    <t>2022-07-23</t>
  </si>
  <si>
    <t>AXE-0068</t>
  </si>
  <si>
    <t>2023-08-03</t>
  </si>
  <si>
    <t>AXE-0069</t>
  </si>
  <si>
    <t>2023-05-17</t>
  </si>
  <si>
    <t>AXE-0070</t>
  </si>
  <si>
    <t>2023-10-29</t>
  </si>
  <si>
    <t>AXE-0071</t>
  </si>
  <si>
    <t>2022-09-09</t>
  </si>
  <si>
    <t>CVX</t>
  </si>
  <si>
    <t>Chevron Corp.</t>
  </si>
  <si>
    <t>AXE-0072</t>
  </si>
  <si>
    <t>2023-05-22</t>
  </si>
  <si>
    <t>AXE-0073</t>
  </si>
  <si>
    <t>2023-07-24</t>
  </si>
  <si>
    <t>AXE-0074</t>
  </si>
  <si>
    <t>2023-10-24</t>
  </si>
  <si>
    <t>AXE-0075</t>
  </si>
  <si>
    <t>2023-01-13</t>
  </si>
  <si>
    <t>AXE-0076</t>
  </si>
  <si>
    <t>2022-10-05</t>
  </si>
  <si>
    <t>AXE-0077</t>
  </si>
  <si>
    <t>2022-07-16</t>
  </si>
  <si>
    <t>AXE-0078</t>
  </si>
  <si>
    <t>2022-07-18</t>
  </si>
  <si>
    <t>AXE-0079</t>
  </si>
  <si>
    <t>2023-07-21</t>
  </si>
  <si>
    <t>AXE-0080</t>
  </si>
  <si>
    <t>2022-07-08</t>
  </si>
  <si>
    <t>AXE-0081</t>
  </si>
  <si>
    <t>2022-06-05</t>
  </si>
  <si>
    <t>AXE-0082</t>
  </si>
  <si>
    <t>2023-09-26</t>
  </si>
  <si>
    <t>AXE-0083</t>
  </si>
  <si>
    <t>2023-08-06</t>
  </si>
  <si>
    <t>AXE-0084</t>
  </si>
  <si>
    <t>2022-09-03</t>
  </si>
  <si>
    <t>AXE-0085</t>
  </si>
  <si>
    <t>2022-08-26</t>
  </si>
  <si>
    <t>AXE-0086</t>
  </si>
  <si>
    <t>2023-11-09</t>
  </si>
  <si>
    <t>AXE-0087</t>
  </si>
  <si>
    <t>2022-03-03</t>
  </si>
  <si>
    <t>AXE-0088</t>
  </si>
  <si>
    <t>2023-12-18</t>
  </si>
  <si>
    <t>AXE-0089</t>
  </si>
  <si>
    <t>AXE-0090</t>
  </si>
  <si>
    <t>AXE-0091</t>
  </si>
  <si>
    <t>2022-07-05</t>
  </si>
  <si>
    <t>AXE-0092</t>
  </si>
  <si>
    <t>2022-12-04</t>
  </si>
  <si>
    <t>AXE-0093</t>
  </si>
  <si>
    <t>AXE-0094</t>
  </si>
  <si>
    <t>2023-04-19</t>
  </si>
  <si>
    <t>AXE-0095</t>
  </si>
  <si>
    <t>2022-07-28</t>
  </si>
  <si>
    <t>AXE-0096</t>
  </si>
  <si>
    <t>AXE-0097</t>
  </si>
  <si>
    <t>2023-04-18</t>
  </si>
  <si>
    <t>AXE-0098</t>
  </si>
  <si>
    <t>2023-04-29</t>
  </si>
  <si>
    <t>AXE-0099</t>
  </si>
  <si>
    <t>2022-03-13</t>
  </si>
  <si>
    <t>AXE-0100</t>
  </si>
  <si>
    <t>2023-08-25</t>
  </si>
  <si>
    <t>AXE-0101</t>
  </si>
  <si>
    <t>2022-11-26</t>
  </si>
  <si>
    <t>AXE-0102</t>
  </si>
  <si>
    <t>2023-12-24</t>
  </si>
  <si>
    <t>AXE-0103</t>
  </si>
  <si>
    <t>2023-03-27</t>
  </si>
  <si>
    <t>AXE-0104</t>
  </si>
  <si>
    <t>2023-04-26</t>
  </si>
  <si>
    <t>AXE-0105</t>
  </si>
  <si>
    <t>2022-11-21</t>
  </si>
  <si>
    <t>AXE-0106</t>
  </si>
  <si>
    <t>2022-04-03</t>
  </si>
  <si>
    <t>AXE-0107</t>
  </si>
  <si>
    <t>2022-10-28</t>
  </si>
  <si>
    <t>AXE-0108</t>
  </si>
  <si>
    <t>2022-06-29</t>
  </si>
  <si>
    <t>AXE-0109</t>
  </si>
  <si>
    <t>2023-10-16</t>
  </si>
  <si>
    <t>AXE-0110</t>
  </si>
  <si>
    <t>2022-06-11</t>
  </si>
  <si>
    <t>AXE-0111</t>
  </si>
  <si>
    <t>2022-11-06</t>
  </si>
  <si>
    <t>AXE-0112</t>
  </si>
  <si>
    <t>2022-01-23</t>
  </si>
  <si>
    <t>AXE-0113</t>
  </si>
  <si>
    <t>2023-05-24</t>
  </si>
  <si>
    <t>AXE-0114</t>
  </si>
  <si>
    <t>2023-10-06</t>
  </si>
  <si>
    <t>AXE-0115</t>
  </si>
  <si>
    <t>2022-12-01</t>
  </si>
  <si>
    <t>AXE-0116</t>
  </si>
  <si>
    <t>2022-06-18</t>
  </si>
  <si>
    <t>AXE-0117</t>
  </si>
  <si>
    <t>2022-08-20</t>
  </si>
  <si>
    <t>AXE-0118</t>
  </si>
  <si>
    <t>AXE-0119</t>
  </si>
  <si>
    <t>2023-09-27</t>
  </si>
  <si>
    <t>AXE-0120</t>
  </si>
  <si>
    <t>2022-04-30</t>
  </si>
  <si>
    <t>AXE-0121</t>
  </si>
  <si>
    <t>2023-02-02</t>
  </si>
  <si>
    <t>AXE-0122</t>
  </si>
  <si>
    <t>AXE-0123</t>
  </si>
  <si>
    <t>2022-04-12</t>
  </si>
  <si>
    <t>AXE-0124</t>
  </si>
  <si>
    <t>2022-04-04</t>
  </si>
  <si>
    <t>AXE-0125</t>
  </si>
  <si>
    <t>AXE-0126</t>
  </si>
  <si>
    <t>2022-01-03</t>
  </si>
  <si>
    <t>AXE-0127</t>
  </si>
  <si>
    <t>2022-01-16</t>
  </si>
  <si>
    <t>AXE-0128</t>
  </si>
  <si>
    <t>2022-04-27</t>
  </si>
  <si>
    <t>AXE-0129</t>
  </si>
  <si>
    <t>2022-02-14</t>
  </si>
  <si>
    <t>AXE-0130</t>
  </si>
  <si>
    <t>2023-12-31</t>
  </si>
  <si>
    <t>AXE-0131</t>
  </si>
  <si>
    <t>2023-07-16</t>
  </si>
  <si>
    <t>AXE-0132</t>
  </si>
  <si>
    <t>2023-11-02</t>
  </si>
  <si>
    <t>AXE-0133</t>
  </si>
  <si>
    <t>2022-11-17</t>
  </si>
  <si>
    <t>AXE-0134</t>
  </si>
  <si>
    <t>2022-04-06</t>
  </si>
  <si>
    <t>AXE-0135</t>
  </si>
  <si>
    <t>2023-11-18</t>
  </si>
  <si>
    <t>AXE-0136</t>
  </si>
  <si>
    <t>2022-10-22</t>
  </si>
  <si>
    <t>AXE-0137</t>
  </si>
  <si>
    <t>AXE-0138</t>
  </si>
  <si>
    <t>2023-09-21</t>
  </si>
  <si>
    <t>AXE-0139</t>
  </si>
  <si>
    <t>2022-01-07</t>
  </si>
  <si>
    <t>AXE-0140</t>
  </si>
  <si>
    <t>2023-06-28</t>
  </si>
  <si>
    <t>AXE-0141</t>
  </si>
  <si>
    <t>2023-09-03</t>
  </si>
  <si>
    <t>AXE-0142</t>
  </si>
  <si>
    <t>2023-05-13</t>
  </si>
  <si>
    <t>AXE-0143</t>
  </si>
  <si>
    <t>2023-05-14</t>
  </si>
  <si>
    <t>AXE-0144</t>
  </si>
  <si>
    <t>2022-05-21</t>
  </si>
  <si>
    <t>AXE-0145</t>
  </si>
  <si>
    <t>2023-12-22</t>
  </si>
  <si>
    <t>AXE-0146</t>
  </si>
  <si>
    <t>2023-03-23</t>
  </si>
  <si>
    <t>AXE-0147</t>
  </si>
  <si>
    <t>2022-10-24</t>
  </si>
  <si>
    <t>AXE-0148</t>
  </si>
  <si>
    <t>2022-04-01</t>
  </si>
  <si>
    <t>AXE-0149</t>
  </si>
  <si>
    <t>2022-08-15</t>
  </si>
  <si>
    <t>AXE-0150</t>
  </si>
  <si>
    <t>AXE-0151</t>
  </si>
  <si>
    <t>2022-07-01</t>
  </si>
  <si>
    <t>AXE-0152</t>
  </si>
  <si>
    <t>2022-11-27</t>
  </si>
  <si>
    <t>AXE-0153</t>
  </si>
  <si>
    <t>2022-12-27</t>
  </si>
  <si>
    <t>AXE-0154</t>
  </si>
  <si>
    <t>2023-09-22</t>
  </si>
  <si>
    <t>AXE-0155</t>
  </si>
  <si>
    <t>2023-10-30</t>
  </si>
  <si>
    <t>AXE-0156</t>
  </si>
  <si>
    <t>2022-03-28</t>
  </si>
  <si>
    <t>AXE-0157</t>
  </si>
  <si>
    <t>2023-01-17</t>
  </si>
  <si>
    <t>AXE-0158</t>
  </si>
  <si>
    <t>2022-03-09</t>
  </si>
  <si>
    <t>AXE-0159</t>
  </si>
  <si>
    <t>2022-06-03</t>
  </si>
  <si>
    <t>AXE-0160</t>
  </si>
  <si>
    <t>2022-05-13</t>
  </si>
  <si>
    <t>AXE-0161</t>
  </si>
  <si>
    <t>AXE-0162</t>
  </si>
  <si>
    <t>AXE-0163</t>
  </si>
  <si>
    <t>2022-02-08</t>
  </si>
  <si>
    <t>AXE-0164</t>
  </si>
  <si>
    <t>AXE-0165</t>
  </si>
  <si>
    <t>2022-08-28</t>
  </si>
  <si>
    <t>AXE-0166</t>
  </si>
  <si>
    <t>AXE-0167</t>
  </si>
  <si>
    <t>2022-09-14</t>
  </si>
  <si>
    <t>AXE-0168</t>
  </si>
  <si>
    <t>2022-03-27</t>
  </si>
  <si>
    <t>AXE-0169</t>
  </si>
  <si>
    <t>2023-04-07</t>
  </si>
  <si>
    <t>AXE-0170</t>
  </si>
  <si>
    <t>2022-08-18</t>
  </si>
  <si>
    <t>AXE-0171</t>
  </si>
  <si>
    <t>AXE-0172</t>
  </si>
  <si>
    <t>AXE-0173</t>
  </si>
  <si>
    <t>2023-04-14</t>
  </si>
  <si>
    <t>AXE-0174</t>
  </si>
  <si>
    <t>2022-10-26</t>
  </si>
  <si>
    <t>AXE-0175</t>
  </si>
  <si>
    <t>2022-03-11</t>
  </si>
  <si>
    <t>AXE-0176</t>
  </si>
  <si>
    <t>AXE-0177</t>
  </si>
  <si>
    <t>2022-12-13</t>
  </si>
  <si>
    <t>AXE-0178</t>
  </si>
  <si>
    <t>2022-02-07</t>
  </si>
  <si>
    <t>AXE-0179</t>
  </si>
  <si>
    <t>2023-07-11</t>
  </si>
  <si>
    <t>AXE-0180</t>
  </si>
  <si>
    <t>2022-10-07</t>
  </si>
  <si>
    <t>AXE-0181</t>
  </si>
  <si>
    <t>AXE-0182</t>
  </si>
  <si>
    <t>2023-07-13</t>
  </si>
  <si>
    <t>AXE-0183</t>
  </si>
  <si>
    <t>2022-06-20</t>
  </si>
  <si>
    <t>AXE-0184</t>
  </si>
  <si>
    <t>2023-10-17</t>
  </si>
  <si>
    <t>AXE-0185</t>
  </si>
  <si>
    <t>2023-09-15</t>
  </si>
  <si>
    <t>AXE-0186</t>
  </si>
  <si>
    <t>2022-02-03</t>
  </si>
  <si>
    <t>AXE-0187</t>
  </si>
  <si>
    <t>2022-11-18</t>
  </si>
  <si>
    <t>AXE-0188</t>
  </si>
  <si>
    <t>2022-09-26</t>
  </si>
  <si>
    <t>AXE-0189</t>
  </si>
  <si>
    <t>AXE-0190</t>
  </si>
  <si>
    <t>2023-11-15</t>
  </si>
  <si>
    <t>AXE-0191</t>
  </si>
  <si>
    <t>AXE-0192</t>
  </si>
  <si>
    <t>AXE-0193</t>
  </si>
  <si>
    <t>2023-06-23</t>
  </si>
  <si>
    <t>AXE-0194</t>
  </si>
  <si>
    <t>2022-12-19</t>
  </si>
  <si>
    <t>AXE-0195</t>
  </si>
  <si>
    <t>2022-05-08</t>
  </si>
  <si>
    <t>AXE-0196</t>
  </si>
  <si>
    <t>2022-10-18</t>
  </si>
  <si>
    <t>AXE-0197</t>
  </si>
  <si>
    <t>AXE-0198</t>
  </si>
  <si>
    <t>2022-02-12</t>
  </si>
  <si>
    <t>AXE-0199</t>
  </si>
  <si>
    <t>2023-03-03</t>
  </si>
  <si>
    <t>AXE-0200</t>
  </si>
  <si>
    <t>2022-11-01</t>
  </si>
  <si>
    <t>AXE-0201</t>
  </si>
  <si>
    <t>AXE-0202</t>
  </si>
  <si>
    <t>2022-05-06</t>
  </si>
  <si>
    <t>AXE-0203</t>
  </si>
  <si>
    <t>2022-09-12</t>
  </si>
  <si>
    <t>AXE-0204</t>
  </si>
  <si>
    <t>2023-05-26</t>
  </si>
  <si>
    <t>AXE-0205</t>
  </si>
  <si>
    <t>2022-12-28</t>
  </si>
  <si>
    <t>AXE-0206</t>
  </si>
  <si>
    <t>AXE-0207</t>
  </si>
  <si>
    <t>2022-02-22</t>
  </si>
  <si>
    <t>AXE-0208</t>
  </si>
  <si>
    <t>2023-11-28</t>
  </si>
  <si>
    <t>AXE-0209</t>
  </si>
  <si>
    <t>AXE-0210</t>
  </si>
  <si>
    <t>2022-06-02</t>
  </si>
  <si>
    <t>AXE-0211</t>
  </si>
  <si>
    <t>2023-06-04</t>
  </si>
  <si>
    <t>AXE-0212</t>
  </si>
  <si>
    <t>2023-08-21</t>
  </si>
  <si>
    <t>AXE-0213</t>
  </si>
  <si>
    <t>2022-08-22</t>
  </si>
  <si>
    <t>AXE-0214</t>
  </si>
  <si>
    <t>2023-11-29</t>
  </si>
  <si>
    <t>AXE-0215</t>
  </si>
  <si>
    <t>2023-02-27</t>
  </si>
  <si>
    <t>AXE-0216</t>
  </si>
  <si>
    <t>AXE-0217</t>
  </si>
  <si>
    <t>2023-04-16</t>
  </si>
  <si>
    <t>AXE-0218</t>
  </si>
  <si>
    <t>2023-09-17</t>
  </si>
  <si>
    <t>AXE-0219</t>
  </si>
  <si>
    <t>2023-12-23</t>
  </si>
  <si>
    <t>AXE-0220</t>
  </si>
  <si>
    <t>2022-05-05</t>
  </si>
  <si>
    <t>AXE-0221</t>
  </si>
  <si>
    <t>2022-12-21</t>
  </si>
  <si>
    <t>AXE-0222</t>
  </si>
  <si>
    <t>AXE-0223</t>
  </si>
  <si>
    <t>2022-02-23</t>
  </si>
  <si>
    <t>AXE-0224</t>
  </si>
  <si>
    <t>AXE-0225</t>
  </si>
  <si>
    <t>2022-04-02</t>
  </si>
  <si>
    <t>AXE-0226</t>
  </si>
  <si>
    <t>2023-02-11</t>
  </si>
  <si>
    <t>AXE-0227</t>
  </si>
  <si>
    <t>2022-10-19</t>
  </si>
  <si>
    <t>AXE-0228</t>
  </si>
  <si>
    <t>2022-04-26</t>
  </si>
  <si>
    <t>AXE-0229</t>
  </si>
  <si>
    <t>2023-08-05</t>
  </si>
  <si>
    <t>AXE-0230</t>
  </si>
  <si>
    <t>2022-05-24</t>
  </si>
  <si>
    <t>AXE-0231</t>
  </si>
  <si>
    <t>AXE-0232</t>
  </si>
  <si>
    <t>2023-12-04</t>
  </si>
  <si>
    <t>AXE-0233</t>
  </si>
  <si>
    <t>2023-09-13</t>
  </si>
  <si>
    <t>AXE-0234</t>
  </si>
  <si>
    <t>AXE-0235</t>
  </si>
  <si>
    <t>2023-06-02</t>
  </si>
  <si>
    <t>AXE-0236</t>
  </si>
  <si>
    <t>AXE-0237</t>
  </si>
  <si>
    <t>2022-03-01</t>
  </si>
  <si>
    <t>AXE-0238</t>
  </si>
  <si>
    <t>2023-03-10</t>
  </si>
  <si>
    <t>AXE-0239</t>
  </si>
  <si>
    <t>2022-10-21</t>
  </si>
  <si>
    <t>AXE-0240</t>
  </si>
  <si>
    <t>2023-04-05</t>
  </si>
  <si>
    <t>AXE-0241</t>
  </si>
  <si>
    <t>2022-05-02</t>
  </si>
  <si>
    <t>AXE-0242</t>
  </si>
  <si>
    <t>2022-11-02</t>
  </si>
  <si>
    <t>AXE-0243</t>
  </si>
  <si>
    <t>2022-07-13</t>
  </si>
  <si>
    <t>AXE-0244</t>
  </si>
  <si>
    <t>2022-04-14</t>
  </si>
  <si>
    <t>AXE-0245</t>
  </si>
  <si>
    <t>AXE-0246</t>
  </si>
  <si>
    <t>2023-08-15</t>
  </si>
  <si>
    <t>AXE-0247</t>
  </si>
  <si>
    <t>AXE-0248</t>
  </si>
  <si>
    <t>2022-11-23</t>
  </si>
  <si>
    <t>AXE-0249</t>
  </si>
  <si>
    <t>2022-11-04</t>
  </si>
  <si>
    <t>AXE-0250</t>
  </si>
  <si>
    <t>2022-09-19</t>
  </si>
  <si>
    <t>AXE-0251</t>
  </si>
  <si>
    <t>AXE-0252</t>
  </si>
  <si>
    <t>2022-08-11</t>
  </si>
  <si>
    <t>AXE-0253</t>
  </si>
  <si>
    <t>2023-05-06</t>
  </si>
  <si>
    <t>AXE-0254</t>
  </si>
  <si>
    <t>2023-07-01</t>
  </si>
  <si>
    <t>AXE-0255</t>
  </si>
  <si>
    <t>2022-11-24</t>
  </si>
  <si>
    <t>AXE-0256</t>
  </si>
  <si>
    <t>AXE-0257</t>
  </si>
  <si>
    <t>AXE-0258</t>
  </si>
  <si>
    <t>2022-06-23</t>
  </si>
  <si>
    <t>AXE-0259</t>
  </si>
  <si>
    <t>2022-02-04</t>
  </si>
  <si>
    <t>AXE-0260</t>
  </si>
  <si>
    <t>2022-08-12</t>
  </si>
  <si>
    <t>AXE-0261</t>
  </si>
  <si>
    <t>2022-01-17</t>
  </si>
  <si>
    <t>AXE-0262</t>
  </si>
  <si>
    <t>2022-01-18</t>
  </si>
  <si>
    <t>AXE-0263</t>
  </si>
  <si>
    <t>2022-12-29</t>
  </si>
  <si>
    <t>AXE-0264</t>
  </si>
  <si>
    <t>AXE-0265</t>
  </si>
  <si>
    <t>2022-03-26</t>
  </si>
  <si>
    <t>AXE-0266</t>
  </si>
  <si>
    <t>2022-08-24</t>
  </si>
  <si>
    <t>AXE-0267</t>
  </si>
  <si>
    <t>2023-08-01</t>
  </si>
  <si>
    <t>AXE-0268</t>
  </si>
  <si>
    <t>2022-03-20</t>
  </si>
  <si>
    <t>AXE-0269</t>
  </si>
  <si>
    <t>2023-01-29</t>
  </si>
  <si>
    <t>AXE-0270</t>
  </si>
  <si>
    <t>AXE-0271</t>
  </si>
  <si>
    <t>2023-01-20</t>
  </si>
  <si>
    <t>AXE-0272</t>
  </si>
  <si>
    <t>AXE-0273</t>
  </si>
  <si>
    <t>AXE-0274</t>
  </si>
  <si>
    <t>2023-07-25</t>
  </si>
  <si>
    <t>AXE-0275</t>
  </si>
  <si>
    <t>2022-01-13</t>
  </si>
  <si>
    <t>AXE-0276</t>
  </si>
  <si>
    <t>2023-08-09</t>
  </si>
  <si>
    <t>AXE-0277</t>
  </si>
  <si>
    <t>2022-10-10</t>
  </si>
  <si>
    <t>AXE-0278</t>
  </si>
  <si>
    <t>2023-09-01</t>
  </si>
  <si>
    <t>AXE-0279</t>
  </si>
  <si>
    <t>AXE-0280</t>
  </si>
  <si>
    <t>2023-09-10</t>
  </si>
  <si>
    <t>AXE-0281</t>
  </si>
  <si>
    <t>2023-08-13</t>
  </si>
  <si>
    <t>AXE-0282</t>
  </si>
  <si>
    <t>2023-08-30</t>
  </si>
  <si>
    <t>AXE-0283</t>
  </si>
  <si>
    <t>2023-12-11</t>
  </si>
  <si>
    <t>AXE-0284</t>
  </si>
  <si>
    <t>2023-01-22</t>
  </si>
  <si>
    <t>AXE-0285</t>
  </si>
  <si>
    <t>AXE-0286</t>
  </si>
  <si>
    <t>AXE-0287</t>
  </si>
  <si>
    <t>2022-09-22</t>
  </si>
  <si>
    <t>AXE-0288</t>
  </si>
  <si>
    <t>2023-11-27</t>
  </si>
  <si>
    <t>AXE-0289</t>
  </si>
  <si>
    <t>2022-12-23</t>
  </si>
  <si>
    <t>AXE-0290</t>
  </si>
  <si>
    <t>AXE-0291</t>
  </si>
  <si>
    <t>2022-09-07</t>
  </si>
  <si>
    <t>AXE-0292</t>
  </si>
  <si>
    <t>2022-07-10</t>
  </si>
  <si>
    <t>AXE-0293</t>
  </si>
  <si>
    <t>AXE-0294</t>
  </si>
  <si>
    <t>2022-07-11</t>
  </si>
  <si>
    <t>AXE-0295</t>
  </si>
  <si>
    <t>2023-09-04</t>
  </si>
  <si>
    <t>AXE-0296</t>
  </si>
  <si>
    <t>AXE-0297</t>
  </si>
  <si>
    <t>AXE-0298</t>
  </si>
  <si>
    <t>2023-07-23</t>
  </si>
  <si>
    <t>AXE-0299</t>
  </si>
  <si>
    <t>AXE-0300</t>
  </si>
  <si>
    <t>2023-03-02</t>
  </si>
  <si>
    <t>AXE-0301</t>
  </si>
  <si>
    <t>2022-08-19</t>
  </si>
  <si>
    <t>AXE-0302</t>
  </si>
  <si>
    <t>AXE-0303</t>
  </si>
  <si>
    <t>2023-03-12</t>
  </si>
  <si>
    <t>AXE-0304</t>
  </si>
  <si>
    <t>2023-03-26</t>
  </si>
  <si>
    <t>AXE-0305</t>
  </si>
  <si>
    <t>AXE-0306</t>
  </si>
  <si>
    <t>2022-11-28</t>
  </si>
  <si>
    <t>AXE-0307</t>
  </si>
  <si>
    <t>AXE-0308</t>
  </si>
  <si>
    <t>AXE-0309</t>
  </si>
  <si>
    <t>2023-02-17</t>
  </si>
  <si>
    <t>AXE-0310</t>
  </si>
  <si>
    <t>2023-04-15</t>
  </si>
  <si>
    <t>AXE-0311</t>
  </si>
  <si>
    <t>AXE-0312</t>
  </si>
  <si>
    <t>2022-02-17</t>
  </si>
  <si>
    <t>AXE-0313</t>
  </si>
  <si>
    <t>2022-07-27</t>
  </si>
  <si>
    <t>AXE-0314</t>
  </si>
  <si>
    <t>2023-01-16</t>
  </si>
  <si>
    <t>AXE-0315</t>
  </si>
  <si>
    <t>AXE-0316</t>
  </si>
  <si>
    <t>AXE-0317</t>
  </si>
  <si>
    <t>2022-04-16</t>
  </si>
  <si>
    <t>AXE-0318</t>
  </si>
  <si>
    <t>AXE-0319</t>
  </si>
  <si>
    <t>2023-09-23</t>
  </si>
  <si>
    <t>AXE-0320</t>
  </si>
  <si>
    <t>2023-03-16</t>
  </si>
  <si>
    <t>AXE-0321</t>
  </si>
  <si>
    <t>AXE-0322</t>
  </si>
  <si>
    <t>AXE-0323</t>
  </si>
  <si>
    <t>2023-01-05</t>
  </si>
  <si>
    <t>AXE-0324</t>
  </si>
  <si>
    <t>2022-03-16</t>
  </si>
  <si>
    <t>AXE-0325</t>
  </si>
  <si>
    <t>2023-06-03</t>
  </si>
  <si>
    <t>AXE-0326</t>
  </si>
  <si>
    <t>AXE-0327</t>
  </si>
  <si>
    <t>2023-08-24</t>
  </si>
  <si>
    <t>AXE-0328</t>
  </si>
  <si>
    <t>2022-04-29</t>
  </si>
  <si>
    <t>AXE-0329</t>
  </si>
  <si>
    <t>2023-12-20</t>
  </si>
  <si>
    <t>AXE-0330</t>
  </si>
  <si>
    <t>AXE-0331</t>
  </si>
  <si>
    <t>2022-09-27</t>
  </si>
  <si>
    <t>AXE-0332</t>
  </si>
  <si>
    <t>AXE-0333</t>
  </si>
  <si>
    <t>AXE-0334</t>
  </si>
  <si>
    <t>AXE-0335</t>
  </si>
  <si>
    <t>2023-05-30</t>
  </si>
  <si>
    <t>AXE-0336</t>
  </si>
  <si>
    <t>2022-10-17</t>
  </si>
  <si>
    <t>AXE-0337</t>
  </si>
  <si>
    <t>2023-09-30</t>
  </si>
  <si>
    <t>AXE-0338</t>
  </si>
  <si>
    <t>AXE-0339</t>
  </si>
  <si>
    <t>AXE-0340</t>
  </si>
  <si>
    <t>2022-05-26</t>
  </si>
  <si>
    <t>AXE-0341</t>
  </si>
  <si>
    <t>AXE-0342</t>
  </si>
  <si>
    <t>2023-03-22</t>
  </si>
  <si>
    <t>AXE-0343</t>
  </si>
  <si>
    <t>2022-11-22</t>
  </si>
  <si>
    <t>AXE-0344</t>
  </si>
  <si>
    <t>2022-04-19</t>
  </si>
  <si>
    <t>AXE-0345</t>
  </si>
  <si>
    <t>2022-11-12</t>
  </si>
  <si>
    <t>AXE-0346</t>
  </si>
  <si>
    <t>2022-02-11</t>
  </si>
  <si>
    <t>AXE-0347</t>
  </si>
  <si>
    <t>2022-09-24</t>
  </si>
  <si>
    <t>AXE-0348</t>
  </si>
  <si>
    <t>AXE-0349</t>
  </si>
  <si>
    <t>AXE-0350</t>
  </si>
  <si>
    <t>2022-05-12</t>
  </si>
  <si>
    <t>AXE-0351</t>
  </si>
  <si>
    <t>AXE-0352</t>
  </si>
  <si>
    <t>2022-02-05</t>
  </si>
  <si>
    <t>AXE-0353</t>
  </si>
  <si>
    <t>AXE-0354</t>
  </si>
  <si>
    <t>2023-05-07</t>
  </si>
  <si>
    <t>AXE-0355</t>
  </si>
  <si>
    <t>2022-01-31</t>
  </si>
  <si>
    <t>AXE-0356</t>
  </si>
  <si>
    <t>AXE-0357</t>
  </si>
  <si>
    <t>AXE-0358</t>
  </si>
  <si>
    <t>2022-01-29</t>
  </si>
  <si>
    <t>AXE-0359</t>
  </si>
  <si>
    <t>2023-07-10</t>
  </si>
  <si>
    <t>AXE-0360</t>
  </si>
  <si>
    <t>2022-01-01</t>
  </si>
  <si>
    <t>AXE-0361</t>
  </si>
  <si>
    <t>2022-03-02</t>
  </si>
  <si>
    <t>AXE-0362</t>
  </si>
  <si>
    <t>AXE-0363</t>
  </si>
  <si>
    <t>AXE-0364</t>
  </si>
  <si>
    <t>2022-08-17</t>
  </si>
  <si>
    <t>AXE-0365</t>
  </si>
  <si>
    <t>2023-02-05</t>
  </si>
  <si>
    <t>AXE-0366</t>
  </si>
  <si>
    <t>2022-05-25</t>
  </si>
  <si>
    <t>AXE-0367</t>
  </si>
  <si>
    <t>2023-04-03</t>
  </si>
  <si>
    <t>AXE-0368</t>
  </si>
  <si>
    <t>2022-02-19</t>
  </si>
  <si>
    <t>AXE-0369</t>
  </si>
  <si>
    <t>AXE-0370</t>
  </si>
  <si>
    <t>2022-10-29</t>
  </si>
  <si>
    <t>AXE-0371</t>
  </si>
  <si>
    <t>2023-07-15</t>
  </si>
  <si>
    <t>AXE-0372</t>
  </si>
  <si>
    <t>2023-09-14</t>
  </si>
  <si>
    <t>AXE-0373</t>
  </si>
  <si>
    <t>2022-09-29</t>
  </si>
  <si>
    <t>AXE-0374</t>
  </si>
  <si>
    <t>AXE-0375</t>
  </si>
  <si>
    <t>2022-07-31</t>
  </si>
  <si>
    <t>AXE-0376</t>
  </si>
  <si>
    <t>AXE-0377</t>
  </si>
  <si>
    <t>AXE-0378</t>
  </si>
  <si>
    <t>2023-07-09</t>
  </si>
  <si>
    <t>AXE-0379</t>
  </si>
  <si>
    <t>2023-12-05</t>
  </si>
  <si>
    <t>AXE-0380</t>
  </si>
  <si>
    <t>AXE-0381</t>
  </si>
  <si>
    <t>2022-02-13</t>
  </si>
  <si>
    <t>AXE-0382</t>
  </si>
  <si>
    <t>2022-03-10</t>
  </si>
  <si>
    <t>AXE-0383</t>
  </si>
  <si>
    <t>2023-12-19</t>
  </si>
  <si>
    <t>AXE-0384</t>
  </si>
  <si>
    <t>AXE-0385</t>
  </si>
  <si>
    <t>AXE-0386</t>
  </si>
  <si>
    <t>2023-02-10</t>
  </si>
  <si>
    <t>AXE-0387</t>
  </si>
  <si>
    <t>2022-11-15</t>
  </si>
  <si>
    <t>AXE-0388</t>
  </si>
  <si>
    <t>2022-10-03</t>
  </si>
  <si>
    <t>AXE-0389</t>
  </si>
  <si>
    <t>AXE-0390</t>
  </si>
  <si>
    <t>AXE-0391</t>
  </si>
  <si>
    <t>AXE-0392</t>
  </si>
  <si>
    <t>2022-09-05</t>
  </si>
  <si>
    <t>AXE-0393</t>
  </si>
  <si>
    <t>AXE-0394</t>
  </si>
  <si>
    <t>AXE-0395</t>
  </si>
  <si>
    <t>2023-05-01</t>
  </si>
  <si>
    <t>AXE-0396</t>
  </si>
  <si>
    <t>AXE-0397</t>
  </si>
  <si>
    <t>2023-08-22</t>
  </si>
  <si>
    <t>AXE-0398</t>
  </si>
  <si>
    <t>AXE-0399</t>
  </si>
  <si>
    <t>2022-09-25</t>
  </si>
  <si>
    <t>AXE-0400</t>
  </si>
  <si>
    <t>2023-02-18</t>
  </si>
  <si>
    <t>AXE-0401</t>
  </si>
  <si>
    <t>2022-02-06</t>
  </si>
  <si>
    <t>AXE-0402</t>
  </si>
  <si>
    <t>AXE-0403</t>
  </si>
  <si>
    <t>2022-07-07</t>
  </si>
  <si>
    <t>AXE-0404</t>
  </si>
  <si>
    <t>AXE-0405</t>
  </si>
  <si>
    <t>2023-09-28</t>
  </si>
  <si>
    <t>AXE-0406</t>
  </si>
  <si>
    <t>2022-06-04</t>
  </si>
  <si>
    <t>AXE-0407</t>
  </si>
  <si>
    <t>2022-07-04</t>
  </si>
  <si>
    <t>AXE-0408</t>
  </si>
  <si>
    <t>2022-08-03</t>
  </si>
  <si>
    <t>AXE-0409</t>
  </si>
  <si>
    <t>AXE-0410</t>
  </si>
  <si>
    <t>AXE-0411</t>
  </si>
  <si>
    <t>AXE-0412</t>
  </si>
  <si>
    <t>2023-06-17</t>
  </si>
  <si>
    <t>AXE-0413</t>
  </si>
  <si>
    <t>2022-01-20</t>
  </si>
  <si>
    <t>AXE-0414</t>
  </si>
  <si>
    <t>AXE-0415</t>
  </si>
  <si>
    <t>2023-12-08</t>
  </si>
  <si>
    <t>AXE-0416</t>
  </si>
  <si>
    <t>2022-11-05</t>
  </si>
  <si>
    <t>AXE-0417</t>
  </si>
  <si>
    <t>2023-06-08</t>
  </si>
  <si>
    <t>AXE-0418</t>
  </si>
  <si>
    <t>2022-07-26</t>
  </si>
  <si>
    <t>AXE-0419</t>
  </si>
  <si>
    <t>2022-12-05</t>
  </si>
  <si>
    <t>AXE-0420</t>
  </si>
  <si>
    <t>AXE-0421</t>
  </si>
  <si>
    <t>2022-04-13</t>
  </si>
  <si>
    <t>AXE-0422</t>
  </si>
  <si>
    <t>AXE-0423</t>
  </si>
  <si>
    <t>AXE-0424</t>
  </si>
  <si>
    <t>2023-03-08</t>
  </si>
  <si>
    <t>AXE-0425</t>
  </si>
  <si>
    <t>2023-08-28</t>
  </si>
  <si>
    <t>AXE-0426</t>
  </si>
  <si>
    <t>2023-05-10</t>
  </si>
  <si>
    <t>AXE-0427</t>
  </si>
  <si>
    <t>2023-08-14</t>
  </si>
  <si>
    <t>AXE-0428</t>
  </si>
  <si>
    <t>2023-05-09</t>
  </si>
  <si>
    <t>AXE-0429</t>
  </si>
  <si>
    <t>AXE-0430</t>
  </si>
  <si>
    <t>AXE-0431</t>
  </si>
  <si>
    <t>AXE-0432</t>
  </si>
  <si>
    <t>AXE-0433</t>
  </si>
  <si>
    <t>AXE-0434</t>
  </si>
  <si>
    <t>2023-04-09</t>
  </si>
  <si>
    <t>AXE-0435</t>
  </si>
  <si>
    <t>2023-06-19</t>
  </si>
  <si>
    <t>AXE-0436</t>
  </si>
  <si>
    <t>AXE-0437</t>
  </si>
  <si>
    <t>AXE-0438</t>
  </si>
  <si>
    <t>AXE-0439</t>
  </si>
  <si>
    <t>2023-06-05</t>
  </si>
  <si>
    <t>AXE-0440</t>
  </si>
  <si>
    <t>AXE-0441</t>
  </si>
  <si>
    <t>2022-05-22</t>
  </si>
  <si>
    <t>AXE-0442</t>
  </si>
  <si>
    <t>2023-10-10</t>
  </si>
  <si>
    <t>AXE-0443</t>
  </si>
  <si>
    <t>2023-05-31</t>
  </si>
  <si>
    <t>AXE-0444</t>
  </si>
  <si>
    <t>AXE-0445</t>
  </si>
  <si>
    <t>2022-06-14</t>
  </si>
  <si>
    <t>AXE-0446</t>
  </si>
  <si>
    <t>2023-01-03</t>
  </si>
  <si>
    <t>AXE-0447</t>
  </si>
  <si>
    <t>AXE-0448</t>
  </si>
  <si>
    <t>2022-01-14</t>
  </si>
  <si>
    <t>AXE-0449</t>
  </si>
  <si>
    <t>2023-07-14</t>
  </si>
  <si>
    <t>AXE-0450</t>
  </si>
  <si>
    <t>2022-05-03</t>
  </si>
  <si>
    <t>AXE-0451</t>
  </si>
  <si>
    <t>AXE-0452</t>
  </si>
  <si>
    <t>AXE-0453</t>
  </si>
  <si>
    <t>2023-06-18</t>
  </si>
  <si>
    <t>AXE-0454</t>
  </si>
  <si>
    <t>2023-11-11</t>
  </si>
  <si>
    <t>AXE-0455</t>
  </si>
  <si>
    <t>2023-10-27</t>
  </si>
  <si>
    <t>AXE-0456</t>
  </si>
  <si>
    <t>2023-11-30</t>
  </si>
  <si>
    <t>AXE-0457</t>
  </si>
  <si>
    <t>2023-06-11</t>
  </si>
  <si>
    <t>AXE-0458</t>
  </si>
  <si>
    <t>2022-06-21</t>
  </si>
  <si>
    <t>AXE-0459</t>
  </si>
  <si>
    <t>2022-07-30</t>
  </si>
  <si>
    <t>AXE-0460</t>
  </si>
  <si>
    <t>2022-09-15</t>
  </si>
  <si>
    <t>AXE-0461</t>
  </si>
  <si>
    <t>AXE-0462</t>
  </si>
  <si>
    <t>AXE-0463</t>
  </si>
  <si>
    <t>AXE-0464</t>
  </si>
  <si>
    <t>2022-10-30</t>
  </si>
  <si>
    <t>AXE-0465</t>
  </si>
  <si>
    <t>2022-01-06</t>
  </si>
  <si>
    <t>AXE-0466</t>
  </si>
  <si>
    <t>2022-08-05</t>
  </si>
  <si>
    <t>AXE-0467</t>
  </si>
  <si>
    <t>2023-11-19</t>
  </si>
  <si>
    <t>AXE-0468</t>
  </si>
  <si>
    <t>2023-08-18</t>
  </si>
  <si>
    <t>AXE-0469</t>
  </si>
  <si>
    <t>AXE-0470</t>
  </si>
  <si>
    <t>2022-11-20</t>
  </si>
  <si>
    <t>AXE-0471</t>
  </si>
  <si>
    <t>2023-01-04</t>
  </si>
  <si>
    <t>AXE-0472</t>
  </si>
  <si>
    <t>AXE-0473</t>
  </si>
  <si>
    <t>AXE-0474</t>
  </si>
  <si>
    <t>AXE-0475</t>
  </si>
  <si>
    <t>2023-04-21</t>
  </si>
  <si>
    <t>AXE-0476</t>
  </si>
  <si>
    <t>2023-12-02</t>
  </si>
  <si>
    <t>AXE-0477</t>
  </si>
  <si>
    <t>2023-05-11</t>
  </si>
  <si>
    <t>AXE-0478</t>
  </si>
  <si>
    <t>2023-06-15</t>
  </si>
  <si>
    <t>AXE-0479</t>
  </si>
  <si>
    <t>AXE-0480</t>
  </si>
  <si>
    <t>2023-06-14</t>
  </si>
  <si>
    <t>AXE-0481</t>
  </si>
  <si>
    <t>AXE-0482</t>
  </si>
  <si>
    <t>AXE-0483</t>
  </si>
  <si>
    <t>AXE-0484</t>
  </si>
  <si>
    <t>AXE-0485</t>
  </si>
  <si>
    <t>2023-02-20</t>
  </si>
  <si>
    <t>AXE-0486</t>
  </si>
  <si>
    <t>AXE-0487</t>
  </si>
  <si>
    <t>AXE-0488</t>
  </si>
  <si>
    <t>AXE-0489</t>
  </si>
  <si>
    <t>AXE-0490</t>
  </si>
  <si>
    <t>AXE-0491</t>
  </si>
  <si>
    <t>AXE-0492</t>
  </si>
  <si>
    <t>AXE-0493</t>
  </si>
  <si>
    <t>2022-01-08</t>
  </si>
  <si>
    <t>AXE-0494</t>
  </si>
  <si>
    <t>2023-07-03</t>
  </si>
  <si>
    <t>AXE-0495</t>
  </si>
  <si>
    <t>AXE-0496</t>
  </si>
  <si>
    <t>AXE-0497</t>
  </si>
  <si>
    <t>2023-07-18</t>
  </si>
  <si>
    <t>AXE-0498</t>
  </si>
  <si>
    <t>AXE-0499</t>
  </si>
  <si>
    <t>AXE-0500</t>
  </si>
  <si>
    <t>2023-11-04</t>
  </si>
  <si>
    <t>AXE-0501</t>
  </si>
  <si>
    <t>AXE-0502</t>
  </si>
  <si>
    <t>AXE-0503</t>
  </si>
  <si>
    <t>2023-08-20</t>
  </si>
  <si>
    <t>AXE-0504</t>
  </si>
  <si>
    <t>AXE-0505</t>
  </si>
  <si>
    <t>2022-09-21</t>
  </si>
  <si>
    <t>AXE-0506</t>
  </si>
  <si>
    <t>AXE-0507</t>
  </si>
  <si>
    <t>AXE-0508</t>
  </si>
  <si>
    <t>AXE-0509</t>
  </si>
  <si>
    <t>AXE-0510</t>
  </si>
  <si>
    <t>AXE-0511</t>
  </si>
  <si>
    <t>AXE-0512</t>
  </si>
  <si>
    <t>2022-10-09</t>
  </si>
  <si>
    <t>AXE-0513</t>
  </si>
  <si>
    <t>2023-05-05</t>
  </si>
  <si>
    <t>AXE-0514</t>
  </si>
  <si>
    <t>2023-04-17</t>
  </si>
  <si>
    <t>AXE-0515</t>
  </si>
  <si>
    <t>AXE-0516</t>
  </si>
  <si>
    <t>AXE-0517</t>
  </si>
  <si>
    <t>AXE-0518</t>
  </si>
  <si>
    <t>AXE-0519</t>
  </si>
  <si>
    <t>AXE-0520</t>
  </si>
  <si>
    <t>2022-09-18</t>
  </si>
  <si>
    <t>AXE-0521</t>
  </si>
  <si>
    <t>AXE-0522</t>
  </si>
  <si>
    <t>2022-06-28</t>
  </si>
  <si>
    <t>AXE-0523</t>
  </si>
  <si>
    <t>AXE-0524</t>
  </si>
  <si>
    <t>AXE-0525</t>
  </si>
  <si>
    <t>AXE-0526</t>
  </si>
  <si>
    <t>2023-02-28</t>
  </si>
  <si>
    <t>AXE-0527</t>
  </si>
  <si>
    <t>2022-08-04</t>
  </si>
  <si>
    <t>AXE-0528</t>
  </si>
  <si>
    <t>2023-06-21</t>
  </si>
  <si>
    <t>AXE-0529</t>
  </si>
  <si>
    <t>AXE-0530</t>
  </si>
  <si>
    <t>2023-05-03</t>
  </si>
  <si>
    <t>AXE-0531</t>
  </si>
  <si>
    <t>AXE-0532</t>
  </si>
  <si>
    <t>2022-08-21</t>
  </si>
  <si>
    <t>AXE-0533</t>
  </si>
  <si>
    <t>AXE-0534</t>
  </si>
  <si>
    <t>2023-03-17</t>
  </si>
  <si>
    <t>AXE-0535</t>
  </si>
  <si>
    <t>2023-02-09</t>
  </si>
  <si>
    <t>AXE-0536</t>
  </si>
  <si>
    <t>2023-09-20</t>
  </si>
  <si>
    <t>AXE-0537</t>
  </si>
  <si>
    <t>2022-04-24</t>
  </si>
  <si>
    <t>AXE-0538</t>
  </si>
  <si>
    <t>2023-07-02</t>
  </si>
  <si>
    <t>AXE-0539</t>
  </si>
  <si>
    <t>AXE-0540</t>
  </si>
  <si>
    <t>2023-12-15</t>
  </si>
  <si>
    <t>AXE-0541</t>
  </si>
  <si>
    <t>AXE-0542</t>
  </si>
  <si>
    <t>AXE-0543</t>
  </si>
  <si>
    <t>AXE-0544</t>
  </si>
  <si>
    <t>2022-09-17</t>
  </si>
  <si>
    <t>AXE-0545</t>
  </si>
  <si>
    <t>2023-10-11</t>
  </si>
  <si>
    <t>AXE-0546</t>
  </si>
  <si>
    <t>AXE-0547</t>
  </si>
  <si>
    <t>AXE-0548</t>
  </si>
  <si>
    <t>AXE-0549</t>
  </si>
  <si>
    <t>2023-05-12</t>
  </si>
  <si>
    <t>AXE-0550</t>
  </si>
  <si>
    <t>2023-04-25</t>
  </si>
  <si>
    <t>AXE-0551</t>
  </si>
  <si>
    <t>2023-01-11</t>
  </si>
  <si>
    <t>AXE-0552</t>
  </si>
  <si>
    <t>2022-09-02</t>
  </si>
  <si>
    <t>AXE-0553</t>
  </si>
  <si>
    <t>AXE-0554</t>
  </si>
  <si>
    <t>2022-07-02</t>
  </si>
  <si>
    <t>AXE-0555</t>
  </si>
  <si>
    <t>AXE-0556</t>
  </si>
  <si>
    <t>2022-03-23</t>
  </si>
  <si>
    <t>AXE-0557</t>
  </si>
  <si>
    <t>2023-09-24</t>
  </si>
  <si>
    <t>AXE-0558</t>
  </si>
  <si>
    <t>2022-04-10</t>
  </si>
  <si>
    <t>AXE-0559</t>
  </si>
  <si>
    <t>2023-07-26</t>
  </si>
  <si>
    <t>AXE-0560</t>
  </si>
  <si>
    <t>AXE-0561</t>
  </si>
  <si>
    <t>AXE-0562</t>
  </si>
  <si>
    <t>AXE-0563</t>
  </si>
  <si>
    <t>AXE-0564</t>
  </si>
  <si>
    <t>2022-08-08</t>
  </si>
  <si>
    <t>AXE-0565</t>
  </si>
  <si>
    <t>AXE-0566</t>
  </si>
  <si>
    <t>AXE-0567</t>
  </si>
  <si>
    <t>2022-04-08</t>
  </si>
  <si>
    <t>AXE-0568</t>
  </si>
  <si>
    <t>AXE-0569</t>
  </si>
  <si>
    <t>AXE-0570</t>
  </si>
  <si>
    <t>2023-09-02</t>
  </si>
  <si>
    <t>AXE-0571</t>
  </si>
  <si>
    <t>2022-02-20</t>
  </si>
  <si>
    <t>AXE-0572</t>
  </si>
  <si>
    <t>2023-07-27</t>
  </si>
  <si>
    <t>AXE-0573</t>
  </si>
  <si>
    <t>2022-09-06</t>
  </si>
  <si>
    <t>AXE-0574</t>
  </si>
  <si>
    <t>2023-01-10</t>
  </si>
  <si>
    <t>AXE-0575</t>
  </si>
  <si>
    <t>AXE-0576</t>
  </si>
  <si>
    <t>2022-03-29</t>
  </si>
  <si>
    <t>AXE-0577</t>
  </si>
  <si>
    <t>2022-12-18</t>
  </si>
  <si>
    <t>AXE-0578</t>
  </si>
  <si>
    <t>2023-06-20</t>
  </si>
  <si>
    <t>AXE-0579</t>
  </si>
  <si>
    <t>AXE-0580</t>
  </si>
  <si>
    <t>AXE-0581</t>
  </si>
  <si>
    <t>AXE-0582</t>
  </si>
  <si>
    <t>AXE-0583</t>
  </si>
  <si>
    <t>2023-06-27</t>
  </si>
  <si>
    <t>AXE-0584</t>
  </si>
  <si>
    <t>2022-08-30</t>
  </si>
  <si>
    <t>AXE-0585</t>
  </si>
  <si>
    <t>2022-10-14</t>
  </si>
  <si>
    <t>AXE-0586</t>
  </si>
  <si>
    <t>2023-10-03</t>
  </si>
  <si>
    <t>AXE-0587</t>
  </si>
  <si>
    <t>AXE-0588</t>
  </si>
  <si>
    <t>AXE-0589</t>
  </si>
  <si>
    <t>AXE-0590</t>
  </si>
  <si>
    <t>AXE-0591</t>
  </si>
  <si>
    <t>AXE-0592</t>
  </si>
  <si>
    <t>AXE-0593</t>
  </si>
  <si>
    <t>2023-02-23</t>
  </si>
  <si>
    <t>AXE-0594</t>
  </si>
  <si>
    <t>AXE-0595</t>
  </si>
  <si>
    <t>AXE-0596</t>
  </si>
  <si>
    <t>2022-04-22</t>
  </si>
  <si>
    <t>AXE-0597</t>
  </si>
  <si>
    <t>AXE-0598</t>
  </si>
  <si>
    <t>AXE-0599</t>
  </si>
  <si>
    <t>AXE-0600</t>
  </si>
  <si>
    <t>AXE-0601</t>
  </si>
  <si>
    <t>2023-12-10</t>
  </si>
  <si>
    <t>AXE-0602</t>
  </si>
  <si>
    <t>AXE-0603</t>
  </si>
  <si>
    <t>2022-06-16</t>
  </si>
  <si>
    <t>AXE-0604</t>
  </si>
  <si>
    <t>2022-05-01</t>
  </si>
  <si>
    <t>AXE-0605</t>
  </si>
  <si>
    <t>AXE-0606</t>
  </si>
  <si>
    <t>AXE-0607</t>
  </si>
  <si>
    <t>2022-02-26</t>
  </si>
  <si>
    <t>AXE-0608</t>
  </si>
  <si>
    <t>AXE-0609</t>
  </si>
  <si>
    <t>2023-07-30</t>
  </si>
  <si>
    <t>AXE-0610</t>
  </si>
  <si>
    <t>AXE-0611</t>
  </si>
  <si>
    <t>AXE-0612</t>
  </si>
  <si>
    <t>2023-12-07</t>
  </si>
  <si>
    <t>AXE-0613</t>
  </si>
  <si>
    <t>2023-07-31</t>
  </si>
  <si>
    <t>AXE-0614</t>
  </si>
  <si>
    <t>2022-01-02</t>
  </si>
  <si>
    <t>AXE-0615</t>
  </si>
  <si>
    <t>AXE-0616</t>
  </si>
  <si>
    <t>AXE-0617</t>
  </si>
  <si>
    <t>AXE-0618</t>
  </si>
  <si>
    <t>AXE-0619</t>
  </si>
  <si>
    <t>2022-02-27</t>
  </si>
  <si>
    <t>AXE-0620</t>
  </si>
  <si>
    <t>AXE-0621</t>
  </si>
  <si>
    <t>2023-02-03</t>
  </si>
  <si>
    <t>AXE-0622</t>
  </si>
  <si>
    <t>2022-10-06</t>
  </si>
  <si>
    <t>AXE-0623</t>
  </si>
  <si>
    <t>AXE-0624</t>
  </si>
  <si>
    <t>AXE-0625</t>
  </si>
  <si>
    <t>AXE-0626</t>
  </si>
  <si>
    <t>AXE-0627</t>
  </si>
  <si>
    <t>AXE-0628</t>
  </si>
  <si>
    <t>AXE-0629</t>
  </si>
  <si>
    <t>AXE-0630</t>
  </si>
  <si>
    <t>AXE-0631</t>
  </si>
  <si>
    <t>2022-02-25</t>
  </si>
  <si>
    <t>AXE-0632</t>
  </si>
  <si>
    <t>AXE-0633</t>
  </si>
  <si>
    <t>AXE-0634</t>
  </si>
  <si>
    <t>AXE-0635</t>
  </si>
  <si>
    <t>2023-04-10</t>
  </si>
  <si>
    <t>AXE-0636</t>
  </si>
  <si>
    <t>AXE-0637</t>
  </si>
  <si>
    <t>AXE-0638</t>
  </si>
  <si>
    <t>AXE-0639</t>
  </si>
  <si>
    <t>2022-06-27</t>
  </si>
  <si>
    <t>AXE-0640</t>
  </si>
  <si>
    <t>2022-06-30</t>
  </si>
  <si>
    <t>AXE-0641</t>
  </si>
  <si>
    <t>AXE-0642</t>
  </si>
  <si>
    <t>2022-05-31</t>
  </si>
  <si>
    <t>AXE-0643</t>
  </si>
  <si>
    <t>2022-11-03</t>
  </si>
  <si>
    <t>AXE-0644</t>
  </si>
  <si>
    <t>AXE-0645</t>
  </si>
  <si>
    <t>2022-10-16</t>
  </si>
  <si>
    <t>AXE-0646</t>
  </si>
  <si>
    <t>AXE-0647</t>
  </si>
  <si>
    <t>2022-06-07</t>
  </si>
  <si>
    <t>AXE-0648</t>
  </si>
  <si>
    <t>2022-05-20</t>
  </si>
  <si>
    <t>AXE-0649</t>
  </si>
  <si>
    <t>AXE-0650</t>
  </si>
  <si>
    <t>AXE-0651</t>
  </si>
  <si>
    <t>AXE-0652</t>
  </si>
  <si>
    <t>AXE-0653</t>
  </si>
  <si>
    <t>AXE-0654</t>
  </si>
  <si>
    <t>2023-08-11</t>
  </si>
  <si>
    <t>AXE-0655</t>
  </si>
  <si>
    <t>2022-11-08</t>
  </si>
  <si>
    <t>AXE-0656</t>
  </si>
  <si>
    <t>2022-01-28</t>
  </si>
  <si>
    <t>AXE-0657</t>
  </si>
  <si>
    <t>2022-10-15</t>
  </si>
  <si>
    <t>AXE-0658</t>
  </si>
  <si>
    <t>AXE-0659</t>
  </si>
  <si>
    <t>2022-05-29</t>
  </si>
  <si>
    <t>AXE-0660</t>
  </si>
  <si>
    <t>AXE-0661</t>
  </si>
  <si>
    <t>AXE-0662</t>
  </si>
  <si>
    <t>2023-01-27</t>
  </si>
  <si>
    <t>AXE-0663</t>
  </si>
  <si>
    <t>AXE-0664</t>
  </si>
  <si>
    <t>AXE-0665</t>
  </si>
  <si>
    <t>AXE-0666</t>
  </si>
  <si>
    <t>2022-07-17</t>
  </si>
  <si>
    <t>AXE-0667</t>
  </si>
  <si>
    <t>AXE-0668</t>
  </si>
  <si>
    <t>2022-07-09</t>
  </si>
  <si>
    <t>AXE-0669</t>
  </si>
  <si>
    <t>2023-03-14</t>
  </si>
  <si>
    <t>AXE-0670</t>
  </si>
  <si>
    <t>AXE-0671</t>
  </si>
  <si>
    <t>AXE-0672</t>
  </si>
  <si>
    <t>AXE-0673</t>
  </si>
  <si>
    <t>AXE-0674</t>
  </si>
  <si>
    <t>AXE-0675</t>
  </si>
  <si>
    <t>AXE-0676</t>
  </si>
  <si>
    <t>AXE-0677</t>
  </si>
  <si>
    <t>AXE-0678</t>
  </si>
  <si>
    <t>AXE-0679</t>
  </si>
  <si>
    <t>2023-04-06</t>
  </si>
  <si>
    <t>AXE-0680</t>
  </si>
  <si>
    <t>AXE-0681</t>
  </si>
  <si>
    <t>AXE-0682</t>
  </si>
  <si>
    <t>AXE-0683</t>
  </si>
  <si>
    <t>2022-03-06</t>
  </si>
  <si>
    <t>AXE-0684</t>
  </si>
  <si>
    <t>AXE-0685</t>
  </si>
  <si>
    <t>AXE-0686</t>
  </si>
  <si>
    <t>2023-01-21</t>
  </si>
  <si>
    <t>AXE-0687</t>
  </si>
  <si>
    <t>AXE-0688</t>
  </si>
  <si>
    <t>2023-09-18</t>
  </si>
  <si>
    <t>AXE-0689</t>
  </si>
  <si>
    <t>AXE-0690</t>
  </si>
  <si>
    <t>AXE-0691</t>
  </si>
  <si>
    <t>2023-05-25</t>
  </si>
  <si>
    <t>AXE-0692</t>
  </si>
  <si>
    <t>AXE-0693</t>
  </si>
  <si>
    <t>2022-03-14</t>
  </si>
  <si>
    <t>AXE-0694</t>
  </si>
  <si>
    <t>2022-04-23</t>
  </si>
  <si>
    <t>AXE-0695</t>
  </si>
  <si>
    <t>2023-04-28</t>
  </si>
  <si>
    <t>AXE-0696</t>
  </si>
  <si>
    <t>AXE-0697</t>
  </si>
  <si>
    <t>AXE-0698</t>
  </si>
  <si>
    <t>2022-06-24</t>
  </si>
  <si>
    <t>AXE-0699</t>
  </si>
  <si>
    <t>2022-10-13</t>
  </si>
  <si>
    <t>AXE-0700</t>
  </si>
  <si>
    <t>AXE-0701</t>
  </si>
  <si>
    <t>2023-02-08</t>
  </si>
  <si>
    <t>AXE-0702</t>
  </si>
  <si>
    <t>AXE-0703</t>
  </si>
  <si>
    <t>AXE-0704</t>
  </si>
  <si>
    <t>AXE-0705</t>
  </si>
  <si>
    <t>2022-10-31</t>
  </si>
  <si>
    <t>AXE-0706</t>
  </si>
  <si>
    <t>AXE-0707</t>
  </si>
  <si>
    <t>AXE-0708</t>
  </si>
  <si>
    <t>2023-12-21</t>
  </si>
  <si>
    <t>AXE-0709</t>
  </si>
  <si>
    <t>AXE-0710</t>
  </si>
  <si>
    <t>2022-10-27</t>
  </si>
  <si>
    <t>AXE-0711</t>
  </si>
  <si>
    <t>2022-07-12</t>
  </si>
  <si>
    <t>AXE-0712</t>
  </si>
  <si>
    <t>AXE-0713</t>
  </si>
  <si>
    <t>AXE-0714</t>
  </si>
  <si>
    <t>AXE-0715</t>
  </si>
  <si>
    <t>AXE-0716</t>
  </si>
  <si>
    <t>AXE-0717</t>
  </si>
  <si>
    <t>2023-12-30</t>
  </si>
  <si>
    <t>AXE-0718</t>
  </si>
  <si>
    <t>AXE-0719</t>
  </si>
  <si>
    <t>2023-11-13</t>
  </si>
  <si>
    <t>AXE-0720</t>
  </si>
  <si>
    <t>2023-02-19</t>
  </si>
  <si>
    <t>AXE-0721</t>
  </si>
  <si>
    <t>2022-12-06</t>
  </si>
  <si>
    <t>AXE-0722</t>
  </si>
  <si>
    <t>2023-03-29</t>
  </si>
  <si>
    <t>AXE-0723</t>
  </si>
  <si>
    <t>2023-09-25</t>
  </si>
  <si>
    <t>AXE-0724</t>
  </si>
  <si>
    <t>AXE-0725</t>
  </si>
  <si>
    <t>AXE-0726</t>
  </si>
  <si>
    <t>2022-06-01</t>
  </si>
  <si>
    <t>AXE-0727</t>
  </si>
  <si>
    <t>2022-03-31</t>
  </si>
  <si>
    <t>AXE-0728</t>
  </si>
  <si>
    <t>AXE-0729</t>
  </si>
  <si>
    <t>AXE-0730</t>
  </si>
  <si>
    <t>AXE-0731</t>
  </si>
  <si>
    <t>AXE-0732</t>
  </si>
  <si>
    <t>AXE-0733</t>
  </si>
  <si>
    <t>2023-05-20</t>
  </si>
  <si>
    <t>AXE-0734</t>
  </si>
  <si>
    <t>2023-12-12</t>
  </si>
  <si>
    <t>AXE-0735</t>
  </si>
  <si>
    <t>AXE-0736</t>
  </si>
  <si>
    <t>AXE-0737</t>
  </si>
  <si>
    <t>2023-09-06</t>
  </si>
  <si>
    <t>AXE-0738</t>
  </si>
  <si>
    <t>2022-04-09</t>
  </si>
  <si>
    <t>AXE-0739</t>
  </si>
  <si>
    <t>2022-04-15</t>
  </si>
  <si>
    <t>AXE-0740</t>
  </si>
  <si>
    <t>2023-06-29</t>
  </si>
  <si>
    <t>AXE-0741</t>
  </si>
  <si>
    <t>2022-11-16</t>
  </si>
  <si>
    <t>AXE-0742</t>
  </si>
  <si>
    <t>2022-01-30</t>
  </si>
  <si>
    <t>AXE-0743</t>
  </si>
  <si>
    <t>2022-03-22</t>
  </si>
  <si>
    <t>AXE-0744</t>
  </si>
  <si>
    <t>2023-11-07</t>
  </si>
  <si>
    <t>AXE-0745</t>
  </si>
  <si>
    <t>2022-05-07</t>
  </si>
  <si>
    <t>AXE-0746</t>
  </si>
  <si>
    <t>AXE-0747</t>
  </si>
  <si>
    <t>AXE-0748</t>
  </si>
  <si>
    <t>AXE-0749</t>
  </si>
  <si>
    <t>2022-12-30</t>
  </si>
  <si>
    <t>AXE-0750</t>
  </si>
  <si>
    <t>AXE-0751</t>
  </si>
  <si>
    <t>AXE-0752</t>
  </si>
  <si>
    <t>AXE-0753</t>
  </si>
  <si>
    <t>AXE-0754</t>
  </si>
  <si>
    <t>2022-03-08</t>
  </si>
  <si>
    <t>AXE-0755</t>
  </si>
  <si>
    <t>2023-05-27</t>
  </si>
  <si>
    <t>AXE-0756</t>
  </si>
  <si>
    <t>2023-11-14</t>
  </si>
  <si>
    <t>AXE-0757</t>
  </si>
  <si>
    <t>2022-08-25</t>
  </si>
  <si>
    <t>AXE-0758</t>
  </si>
  <si>
    <t>AXE-0759</t>
  </si>
  <si>
    <t>2023-04-23</t>
  </si>
  <si>
    <t>AXE-0760</t>
  </si>
  <si>
    <t>2022-01-19</t>
  </si>
  <si>
    <t>AXE-0761</t>
  </si>
  <si>
    <t>AXE-0762</t>
  </si>
  <si>
    <t>2023-11-23</t>
  </si>
  <si>
    <t>AXE-0763</t>
  </si>
  <si>
    <t>AXE-0764</t>
  </si>
  <si>
    <t>AXE-0765</t>
  </si>
  <si>
    <t>AXE-0766</t>
  </si>
  <si>
    <t>2023-10-26</t>
  </si>
  <si>
    <t>AXE-0767</t>
  </si>
  <si>
    <t>AXE-0768</t>
  </si>
  <si>
    <t>AXE-0769</t>
  </si>
  <si>
    <t>AXE-0770</t>
  </si>
  <si>
    <t>AXE-0771</t>
  </si>
  <si>
    <t>2023-02-16</t>
  </si>
  <si>
    <t>AXE-0772</t>
  </si>
  <si>
    <t>AXE-0773</t>
  </si>
  <si>
    <t>2023-03-20</t>
  </si>
  <si>
    <t>AXE-0774</t>
  </si>
  <si>
    <t>AXE-0775</t>
  </si>
  <si>
    <t>AXE-0776</t>
  </si>
  <si>
    <t>AXE-0777</t>
  </si>
  <si>
    <t>2022-09-20</t>
  </si>
  <si>
    <t>AXE-0778</t>
  </si>
  <si>
    <t>AXE-0779</t>
  </si>
  <si>
    <t>AXE-0780</t>
  </si>
  <si>
    <t>2022-03-07</t>
  </si>
  <si>
    <t>AXE-0781</t>
  </si>
  <si>
    <t>AXE-0782</t>
  </si>
  <si>
    <t>2023-09-07</t>
  </si>
  <si>
    <t>AXE-0783</t>
  </si>
  <si>
    <t>AXE-0784</t>
  </si>
  <si>
    <t>2023-05-18</t>
  </si>
  <si>
    <t>AXE-0785</t>
  </si>
  <si>
    <t>2023-01-07</t>
  </si>
  <si>
    <t>AXE-0786</t>
  </si>
  <si>
    <t>2023-12-09</t>
  </si>
  <si>
    <t>AXE-0787</t>
  </si>
  <si>
    <t>AXE-0788</t>
  </si>
  <si>
    <t>AXE-0789</t>
  </si>
  <si>
    <t>AXE-0790</t>
  </si>
  <si>
    <t>AXE-0791</t>
  </si>
  <si>
    <t>2023-12-13</t>
  </si>
  <si>
    <t>AXE-0792</t>
  </si>
  <si>
    <t>AXE-0793</t>
  </si>
  <si>
    <t>AXE-0794</t>
  </si>
  <si>
    <t>AXE-0795</t>
  </si>
  <si>
    <t>AXE-0796</t>
  </si>
  <si>
    <t>AXE-0797</t>
  </si>
  <si>
    <t>2023-08-04</t>
  </si>
  <si>
    <t>AXE-0798</t>
  </si>
  <si>
    <t>AXE-0799</t>
  </si>
  <si>
    <t>2022-08-09</t>
  </si>
  <si>
    <t>AXE-0800</t>
  </si>
  <si>
    <t xml:space="preserve">  AXE CAPITAL MGMT LLC  &lt;EQUITY&gt;  GO    |    BLOOMBERG PROFESSIONAL    |    {FY2022-2023}    |    PORT&lt;GO&gt;</t>
  </si>
  <si>
    <t xml:space="preserve">  AXE CAPITAL | AUM: $553.7M | NET P&amp;L: $75.65M | ROI: 13.66% | SHARPE: 5.74 | ALPHA: 3.38% | BETA: 1.21 | WIN RATE: 67%</t>
  </si>
  <si>
    <t xml:space="preserve">  ◆ PORTFOLIO METRICS</t>
  </si>
  <si>
    <t xml:space="preserve">  ◆ RISK METRICS</t>
  </si>
  <si>
    <t xml:space="preserve">  ◆ RETURN METRICS</t>
  </si>
  <si>
    <t xml:space="preserve">  ◆ TRADE STATS</t>
  </si>
  <si>
    <t>AUM DEPLOYED</t>
  </si>
  <si>
    <t>$553.7M</t>
  </si>
  <si>
    <t>SHARPE RATIO</t>
  </si>
  <si>
    <t>5.743</t>
  </si>
  <si>
    <t>ALPHA</t>
  </si>
  <si>
    <t>3.38%</t>
  </si>
  <si>
    <t>TOTAL TRADES</t>
  </si>
  <si>
    <t>800</t>
  </si>
  <si>
    <t>TOTAL RETURNS</t>
  </si>
  <si>
    <t>$629.3M</t>
  </si>
  <si>
    <t>SORTINO RATIO</t>
  </si>
  <si>
    <t>7.466</t>
  </si>
  <si>
    <t>AVG VOLATILITY</t>
  </si>
  <si>
    <t>33.90%</t>
  </si>
  <si>
    <t>WINNING TRADES</t>
  </si>
  <si>
    <t>539</t>
  </si>
  <si>
    <t>NET P&amp;L</t>
  </si>
  <si>
    <t>$75.65M</t>
  </si>
  <si>
    <t>MAX DRAWDOWN</t>
  </si>
  <si>
    <t>4978096.00%</t>
  </si>
  <si>
    <t>CALMAR RATIO</t>
  </si>
  <si>
    <t>0.000</t>
  </si>
  <si>
    <t>LOSING TRADES</t>
  </si>
  <si>
    <t>261</t>
  </si>
  <si>
    <t>PORTFOLIO ROI</t>
  </si>
  <si>
    <t>13.66%</t>
  </si>
  <si>
    <t>AVG BETA</t>
  </si>
  <si>
    <t>1.21</t>
  </si>
  <si>
    <t>WIN RATE</t>
  </si>
  <si>
    <t>67.4%</t>
  </si>
  <si>
    <t>BEST MONTH</t>
  </si>
  <si>
    <t>$6578K</t>
  </si>
  <si>
    <t>▲$3097K</t>
  </si>
  <si>
    <t>▲$5375K</t>
  </si>
  <si>
    <t>▲$2682K</t>
  </si>
  <si>
    <t>▲$8668K</t>
  </si>
  <si>
    <t>▲$4042K</t>
  </si>
  <si>
    <t>▲$1661K</t>
  </si>
  <si>
    <t>▲$1297K</t>
  </si>
  <si>
    <t>▲$1860K</t>
  </si>
  <si>
    <t>▲$6961K</t>
  </si>
  <si>
    <t>▲$802K</t>
  </si>
  <si>
    <t>▲$2819K</t>
  </si>
  <si>
    <t>▲$924K</t>
  </si>
  <si>
    <t>▲$3093K</t>
  </si>
  <si>
    <t>▲$11977K</t>
  </si>
  <si>
    <t xml:space="preserve">  ◆ MONTHLY P&amp;L  [2022-2023]</t>
  </si>
  <si>
    <t xml:space="preserve">  ◆ SECTOR ALLOCATION</t>
  </si>
  <si>
    <t>MONTH</t>
  </si>
  <si>
    <t>RETURNS($)</t>
  </si>
  <si>
    <t>CAPITAL</t>
  </si>
  <si>
    <t>P&amp;L</t>
  </si>
  <si>
    <t>ROI%</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</si>
  <si>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</si>
  <si>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</si>
  <si>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</si>
  <si>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</si>
  <si>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</si>
  <si>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</si>
  <si>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</si>
  <si>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</si>
  <si>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</si>
  <si>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</si>
  <si>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</si>
  <si>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</si>
  <si>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</si>
  <si>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</si>
  <si>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</si>
  <si>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</si>
  <si>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</si>
  <si>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</si>
  <si>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</si>
  <si>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</si>
  <si>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</si>
  <si>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</si>
  <si>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</si>
  <si>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</si>
  <si>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 xml:space="preserve">  EQS &lt;GO&gt;  |  AXE CAPITAL  |  EQUITY PERFORMANCE SCREEN  |  ALL POSITIONS</t>
  </si>
  <si>
    <t xml:space="preserve">  ◆ TICKER PERFORMANCE RANKED BY NET P&amp;L</t>
  </si>
  <si>
    <t>RANK</t>
  </si>
  <si>
    <t># TRADES</t>
  </si>
  <si>
    <t>AVG P&amp;L</t>
  </si>
  <si>
    <t xml:space="preserve">  RISK &lt;GO&gt;  |  AXE CAPITAL  |  PORTFOLIO RISK MONITOR  |  REAL-TIME</t>
  </si>
  <si>
    <t>PORTFOLIO BETA</t>
  </si>
  <si>
    <t>VAR (95%)</t>
  </si>
  <si>
    <t>SHARPE</t>
  </si>
  <si>
    <t>SORTINO</t>
  </si>
  <si>
    <t>$309694K</t>
  </si>
  <si>
    <t xml:space="preserve">  ◆ VOLATILITY &amp; RISK BY TICKER</t>
  </si>
  <si>
    <t xml:space="preserve">  ◆ RISK DISTRIBUTION BY SECTOR</t>
  </si>
  <si>
    <t>HIGH RISK</t>
  </si>
  <si>
    <t>MED RISK</t>
  </si>
  <si>
    <t>LOW RISK</t>
  </si>
  <si>
    <t>TOTAL</t>
  </si>
  <si>
    <t>AVG VOL%</t>
  </si>
  <si>
    <t>RISK SCORE</t>
  </si>
  <si>
    <t xml:space="preserve">  PORT &lt;GO&gt;  |  AXE CAPITAL  |  FUND MANAGER ALPHA SCREEN  |  PERFORMANCE ATTRIBUTION</t>
  </si>
  <si>
    <t xml:space="preserve">  ◆ MANAGER PERFORMANCE ATTRIBUTION</t>
  </si>
  <si>
    <t>NET P&amp;L($)</t>
  </si>
  <si>
    <t>WIN RATE%</t>
  </si>
  <si>
    <t>TRADES</t>
  </si>
  <si>
    <t xml:space="preserve">  ◆ STRATEGY BREAKDOWN BY MANAGER</t>
  </si>
  <si>
    <t>TOTAL P&amp;L</t>
  </si>
  <si>
    <t xml:space="preserve">  SECF &lt;GO&gt;  |  AXE CAPITAL  |  SECTOR INTELLIGENCE  |  CAPITAL FLOW ANALYSIS</t>
  </si>
  <si>
    <t xml:space="preserve">  ◆ SECTOR PERFORMANCE MATRIX</t>
  </si>
  <si>
    <t>⬛  AXE CAPITAL MANAGEMENT LLC  |  BLOOMBERG TERMINAL  |  ALPHA INTELLIGENCE REPORT</t>
  </si>
  <si>
    <t>CONFIDENTIAL  |  PERIOD: FY2022-2023  |  GENERATED: BLOOMBERG PRO  |  AXE-CAPITAL-PORT&lt;GO&gt;</t>
  </si>
  <si>
    <t xml:space="preserve">  ◆ FUND PERFORMANCE SUMMARY</t>
  </si>
  <si>
    <t xml:space="preserve">  TOTAL AUM DEPLOYED</t>
  </si>
  <si>
    <t>$553.67M</t>
  </si>
  <si>
    <t xml:space="preserve">  TOTAL RETURNS GENERATED</t>
  </si>
  <si>
    <t>$629.32M</t>
  </si>
  <si>
    <t xml:space="preserve">  NET ALPHA GENERATED</t>
  </si>
  <si>
    <t>$75.655M</t>
  </si>
  <si>
    <t xml:space="preserve">  PORTFOLIO ROI</t>
  </si>
  <si>
    <t>13.664%</t>
  </si>
  <si>
    <t xml:space="preserve">  WIN RATE</t>
  </si>
  <si>
    <t xml:space="preserve">  TOTAL TRADES EXECUTED</t>
  </si>
  <si>
    <t xml:space="preserve">  ◆ QUANTITATIVE RISK METRICS</t>
  </si>
  <si>
    <t xml:space="preserve">  SHARPE RATIO</t>
  </si>
  <si>
    <t>5.7430</t>
  </si>
  <si>
    <t xml:space="preserve">  SORTINO RATIO</t>
  </si>
  <si>
    <t>7.4660</t>
  </si>
  <si>
    <t xml:space="preserve">  CALMAR RATIO</t>
  </si>
  <si>
    <t>0.0000</t>
  </si>
  <si>
    <t xml:space="preserve">  MAXIMUM DRAWDOWN</t>
  </si>
  <si>
    <t>4978096.000%</t>
  </si>
  <si>
    <t xml:space="preserve">  AVG PORTFOLIO VOLATILITY</t>
  </si>
  <si>
    <t>33.900%</t>
  </si>
  <si>
    <t xml:space="preserve">  PORTFOLIO BETA</t>
  </si>
  <si>
    <t xml:space="preserve">  ALPHA vs MARKET</t>
  </si>
  <si>
    <t>3.380%</t>
  </si>
  <si>
    <t xml:space="preserve">  VALUE AT RISK (95%)</t>
  </si>
  <si>
    <t xml:space="preserve">  ◆ PERFORMANCE ATTRIBUTION</t>
  </si>
  <si>
    <t xml:space="preserve">  TOP PERFORMING MANAGER</t>
  </si>
  <si>
    <t xml:space="preserve">  UNDERPERFORM MANAGER</t>
  </si>
  <si>
    <t xml:space="preserve">  BEST TICKER PICK</t>
  </si>
  <si>
    <t xml:space="preserve">  WORST TICKER PICK</t>
  </si>
  <si>
    <t xml:space="preserve">  BEST PERFORMING SECTOR</t>
  </si>
  <si>
    <t xml:space="preserve">  BEST MONTH</t>
  </si>
  <si>
    <t xml:space="preserve">  WORST MONTH</t>
  </si>
  <si>
    <t xml:space="preserve">  ◆ STRATEGIC INTELLIGENCE</t>
  </si>
  <si>
    <t xml:space="preserve">  1. INCREASE ALLOCATION TO TOP SECTOR</t>
  </si>
  <si>
    <t>PRIORITY: HIGH</t>
  </si>
  <si>
    <t xml:space="preserve">  2. REVIEW SHORT POSITIONS IN DRAWDOWN</t>
  </si>
  <si>
    <t xml:space="preserve">  3. DOUBLE DOWN ON TOP MANAGER POSITIONS</t>
  </si>
  <si>
    <t>PRIORITY: MED</t>
  </si>
  <si>
    <t xml:space="preserve">  4. REDUCE HIGH-BETA EXPOSURE</t>
  </si>
  <si>
    <t xml:space="preserve">  5. OPTIMIZE CALMAR RATIO — TARGET &gt;1.5</t>
  </si>
  <si>
    <t>PRIORITY: LOW</t>
  </si>
  <si>
    <t>Row Labels</t>
  </si>
  <si>
    <t>Grand Total</t>
  </si>
  <si>
    <t>Count of TRADE ID</t>
  </si>
  <si>
    <t>Sum of P&amp;L($)</t>
  </si>
  <si>
    <t>Sum of CAPITAL($)</t>
  </si>
  <si>
    <t>Average of P&amp;L%</t>
  </si>
  <si>
    <t>TRADE LOOKUP</t>
  </si>
  <si>
    <t>Enter Trade ID:</t>
  </si>
  <si>
    <t>Risk:</t>
  </si>
  <si>
    <t>P&amp;L($):</t>
  </si>
  <si>
    <t>Strategy:</t>
  </si>
  <si>
    <t>Sector:</t>
  </si>
  <si>
    <t>Company:</t>
  </si>
  <si>
    <t>Manager:</t>
  </si>
  <si>
    <t>AXE CAPITAL MANAGEMENT-EXECUTIVE DASHBOARD</t>
  </si>
  <si>
    <t>Total P&amp;L:</t>
  </si>
  <si>
    <t>Total Trades:</t>
  </si>
  <si>
    <t>Total Capital:</t>
  </si>
  <si>
    <t>Best Manager:</t>
  </si>
  <si>
    <t>Best Sector:</t>
  </si>
  <si>
    <t>Best Strategy:</t>
  </si>
  <si>
    <t>Analysis by: Joydip Ghoshal | AXE Capital Bloomberg Terminal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</si>
</sst>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58" x14ac:knownFonts="1">
    <font>
      <sz val="11"/>
      <color theme="1"/>
      <name val="Calibri"/>
      <family val="2"/>
      <scheme val="minor"/>
    </font>
    <font>
      <b/>
      <sz val="13"/>
      <color rgb="FFFF6600"/>
      <name val="Consolas"/>
    </font>
    <font>
      <b/>
      <sz val="9"/>
      <color rgb="FFFFB300"/>
      <name val="Consolas"/>
    </font>
    <font>
      <b/>
      <sz val="9"/>
      <color rgb="FF757575"/>
      <name val="Consolas"/>
    </font>
    <font>
      <b/>
      <sz val="9"/>
      <color rgb="FFFF6600"/>
      <name val="Consolas"/>
    </font>
    <font>
      <b/>
      <sz val="9"/>
      <color rgb="FFE0E0E0"/>
      <name val="Consolas"/>
    </font>
    <font>
      <b/>
      <sz val="9"/>
      <color rgb="FF00B8D4"/>
      <name val="Consolas"/>
    </font>
    <font>
      <b/>
      <sz val="9"/>
      <color rgb="FFCE93D8"/>
      <name val="Consolas"/>
    </font>
    <font>
      <b/>
      <sz val="9"/>
      <color rgb="FFFFD600"/>
      <name val="Consolas"/>
    </font>
    <font>
      <b/>
      <sz val="9"/>
      <color rgb="FF42A5F5"/>
      <name val="Consolas"/>
    </font>
    <font>
      <b/>
      <sz val="9"/>
      <color rgb="FF00E676"/>
      <name val="Consolas"/>
    </font>
    <font>
      <b/>
      <sz val="9"/>
      <color rgb="FFFF1744"/>
      <name val="Consolas"/>
    </font>
    <font>
      <b/>
      <sz val="9"/>
      <color rgb="FF26C6DA"/>
      <name val="Consolas"/>
    </font>
    <font>
      <sz val="9"/>
      <color rgb="FFE0E0E0"/>
      <name val="Consolas"/>
    </font>
    <font>
      <sz val="9"/>
      <color rgb="FF00B8D4"/>
      <name val="Consolas"/>
    </font>
    <font>
      <sz val="9"/>
      <color rgb="FFCE93D8"/>
      <name val="Consolas"/>
    </font>
    <font>
      <b/>
      <sz val="11"/>
      <color rgb="FFFF6600"/>
      <name val="Consolas"/>
    </font>
    <font>
      <b/>
      <sz val="10"/>
      <color rgb="FFFFB300"/>
      <name val="Consolas"/>
    </font>
    <font>
      <sz val="8"/>
      <color rgb="FF757575"/>
      <name val="Consolas"/>
    </font>
    <font>
      <b/>
      <sz val="11"/>
      <color rgb="FFFFB300"/>
      <name val="Consolas"/>
    </font>
    <font>
      <b/>
      <sz val="11"/>
      <color rgb="FF00E676"/>
      <name val="Consolas"/>
    </font>
    <font>
      <b/>
      <sz val="11"/>
      <color rgb="FF00B8D4"/>
      <name val="Consolas"/>
    </font>
    <font>
      <b/>
      <sz val="11"/>
      <color rgb="FFFF1744"/>
      <name val="Consolas"/>
    </font>
    <font>
      <b/>
      <sz val="11"/>
      <color rgb="FFCE93D8"/>
      <name val="Consolas"/>
    </font>
    <font>
      <b/>
      <sz val="11"/>
      <color rgb="FFFFD600"/>
      <name val="Consolas"/>
    </font>
    <font>
      <b/>
      <sz val="11"/>
      <color rgb="FF26C6DA"/>
      <name val="Consolas"/>
    </font>
    <font>
      <b/>
      <sz val="11"/>
      <color rgb="FFE0E0E0"/>
      <name val="Consolas"/>
    </font>
    <font>
      <b/>
      <sz val="8"/>
      <color rgb="FF757575"/>
      <name val="Consolas"/>
    </font>
    <font>
      <b/>
      <sz val="8"/>
      <color rgb="FFFFB300"/>
      <name val="Consolas"/>
    </font>
    <font>
      <b/>
      <sz val="8"/>
      <color rgb="FF00E676"/>
      <name val="Consolas"/>
    </font>
    <font>
      <b/>
      <sz val="8"/>
      <color rgb="FFFF6600"/>
      <name val="Consolas"/>
    </font>
    <font>
      <sz val="9"/>
      <color rgb="FF757575"/>
      <name val="Consolas"/>
    </font>
    <font>
      <sz val="9"/>
      <color rgb="FFFFB300"/>
      <name val="Consolas"/>
    </font>
    <font>
      <sz val="9"/>
      <color rgb="FF00E676"/>
      <name val="Consolas"/>
    </font>
    <font>
      <b/>
      <sz val="8"/>
      <color rgb="FF00B8D4"/>
      <name val="Consolas"/>
    </font>
    <font>
      <b/>
      <sz val="14"/>
      <color rgb="FFFF1744"/>
      <name val="Consolas"/>
    </font>
    <font>
      <b/>
      <sz val="14"/>
      <color rgb="FFFFD600"/>
      <name val="Consolas"/>
    </font>
    <font>
      <b/>
      <sz val="14"/>
      <color rgb="FFCE93D8"/>
      <name val="Consolas"/>
    </font>
    <font>
      <b/>
      <sz val="14"/>
      <color rgb="FF00B8D4"/>
      <name val="Consolas"/>
    </font>
    <font>
      <b/>
      <sz val="14"/>
      <color rgb="FF26C6DA"/>
      <name val="Consolas"/>
    </font>
    <font>
      <b/>
      <sz val="8"/>
      <color rgb="FFFF1744"/>
      <name val="Consolas"/>
    </font>
    <font>
      <b/>
      <sz val="8"/>
      <color rgb="FFFFD600"/>
      <name val="Consolas"/>
    </font>
    <font>
      <sz val="9"/>
      <color rgb="FFFF1744"/>
      <name val="Consolas"/>
    </font>
    <font>
      <sz val="9"/>
      <color rgb="FFFFD600"/>
      <name val="Consolas"/>
    </font>
    <font>
      <b/>
      <sz val="8"/>
      <color rgb="FFCE93D8"/>
      <name val="Consolas"/>
    </font>
    <font>
      <b/>
      <sz val="8"/>
      <color rgb="FF26C6DA"/>
      <name val="Consolas"/>
    </font>
    <font>
      <b/>
      <sz val="16"/>
      <color rgb="FFFF6600"/>
      <name val="Consolas"/>
    </font>
    <font>
      <b/>
      <sz val="10"/>
      <color rgb="FFFF6600"/>
      <name val="Consolas"/>
    </font>
    <font>
      <b/>
      <sz val="10"/>
      <color rgb="FF00E676"/>
      <name val="Consolas"/>
    </font>
    <font>
      <b/>
      <sz val="10"/>
      <color rgb="FFFF1744"/>
      <name val="Consolas"/>
    </font>
    <font>
      <b/>
      <sz val="10"/>
      <color rgb="FF00B8D4"/>
      <name val="Consolas"/>
    </font>
    <font>
      <b/>
      <sz val="10"/>
      <color rgb="FF26C6DA"/>
      <name val="Consolas"/>
    </font>
    <font>
      <b/>
      <sz val="10"/>
      <color rgb="FFCE93D8"/>
      <name val="Consolas"/>
    </font>
    <font>
      <b/>
      <sz val="10"/>
      <color rgb="FFFFD600"/>
      <name val="Consolas"/>
    </font>
    <font>
      <b/>
      <sz val="11"/>
      <color theme="0"/>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s>
  <fills count="8">
    <fill>
      <patternFill patternType="none"/>
    </fill>
    <fill>
      <patternFill patternType="gray125"/>
    </fill>
    <fill>
      <patternFill patternType="solid">
        <fgColor rgb="FF0A0A0A"/>
      </patternFill>
    </fill>
    <fill>
      <patternFill patternType="solid">
        <fgColor rgb="FF111111"/>
      </patternFill>
    </fill>
    <fill>
      <patternFill patternType="solid">
        <fgColor rgb="FF1A1A1A"/>
      </patternFill>
    </fill>
    <fill>
      <patternFill patternType="solid">
        <fgColor rgb="FF050505"/>
      </patternFill>
    </fill>
    <fill>
      <patternFill patternType="solid">
        <fgColor rgb="FF0F0F0F"/>
        <bgColor indexed="64"/>
      </patternFill>
    </fill>
    <fill>
      <patternFill patternType="solid">
        <fgColor theme="9"/>
        <bgColor indexed="64"/>
      </patternFill>
    </fill>
  </fills>
  <borders count="4">
    <border>
      <left/>
      <right/>
      <top/>
      <bottom/>
      <diagonal/>
    </border>
    <border>
      <left style="thin">
        <color rgb="FF2A2A2A"/>
      </left>
      <right style="thin">
        <color rgb="FF2A2A2A"/>
      </right>
      <top style="thin">
        <color rgb="FF2A2A2A"/>
      </top>
      <bottom style="thin">
        <color rgb="FF2A2A2A"/>
      </bottom>
      <diagonal/>
    </border>
    <border>
      <left/>
      <right/>
      <top style="thin">
        <color rgb="FF2A2A2A"/>
      </top>
      <bottom style="thin">
        <color rgb="FF2A2A2A"/>
      </bottom>
      <diagonal/>
    </border>
    <border>
      <left/>
      <right style="thin">
        <color rgb="FF2A2A2A"/>
      </right>
      <top style="thin">
        <color rgb="FF2A2A2A"/>
      </top>
      <bottom style="thin">
        <color rgb="FF2A2A2A"/>
      </bottom>
      <diagonal/>
    </border>
  </borders>
  <cellStyleXfs count="1">
    <xf numFmtId="0" fontId="0" fillId="0" borderId="0"/>
  </cellStyleXfs>
  <cellXfs count="105">
    <xf numFmtId="0" fontId="0" fillId="0" borderId="0" xfId="0"/>
    <xf numFmtId="0" fontId="2"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6" fillId="4" borderId="1" xfId="0" applyFont="1" applyFill="1" applyBorder="1" applyAlignment="1">
      <alignment horizontal="center" vertical="center"/>
    </xf>
    <xf numFmtId="0" fontId="7" fillId="4" borderId="1" xfId="0" applyFont="1" applyFill="1" applyBorder="1" applyAlignment="1">
      <alignment horizontal="center" vertical="center"/>
    </xf>
    <xf numFmtId="0" fontId="8" fillId="4" borderId="1" xfId="0" applyFont="1" applyFill="1" applyBorder="1" applyAlignment="1">
      <alignment horizontal="center" vertical="center"/>
    </xf>
    <xf numFmtId="0" fontId="9" fillId="4" borderId="1" xfId="0" applyFont="1" applyFill="1" applyBorder="1" applyAlignment="1">
      <alignment horizontal="center" vertical="center"/>
    </xf>
    <xf numFmtId="0" fontId="10"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12" fillId="4" borderId="1" xfId="0" applyFont="1" applyFill="1" applyBorder="1" applyAlignment="1">
      <alignment horizontal="center" vertical="center"/>
    </xf>
    <xf numFmtId="0" fontId="1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14" fillId="2" borderId="1" xfId="0" applyFont="1" applyFill="1" applyBorder="1" applyAlignment="1">
      <alignment horizontal="center" vertical="center"/>
    </xf>
    <xf numFmtId="0" fontId="15"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3"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14" fillId="3" borderId="1" xfId="0" applyFont="1" applyFill="1" applyBorder="1" applyAlignment="1">
      <alignment horizontal="center" vertical="center"/>
    </xf>
    <xf numFmtId="0" fontId="15" fillId="3" borderId="1" xfId="0" applyFont="1" applyFill="1" applyBorder="1" applyAlignment="1">
      <alignment horizontal="center" vertical="center"/>
    </xf>
    <xf numFmtId="0" fontId="10" fillId="3" borderId="1" xfId="0" applyFont="1" applyFill="1" applyBorder="1" applyAlignment="1">
      <alignment horizontal="center" vertical="center"/>
    </xf>
    <xf numFmtId="0" fontId="11" fillId="3" borderId="1" xfId="0" applyFont="1" applyFill="1" applyBorder="1" applyAlignment="1">
      <alignment horizontal="center" vertical="center"/>
    </xf>
    <xf numFmtId="0" fontId="8" fillId="3" borderId="1" xfId="0" applyFont="1" applyFill="1" applyBorder="1" applyAlignment="1">
      <alignment horizontal="center" vertical="center"/>
    </xf>
    <xf numFmtId="0" fontId="8" fillId="2" borderId="1" xfId="0" applyFont="1" applyFill="1" applyBorder="1" applyAlignment="1">
      <alignment horizontal="center" vertical="center"/>
    </xf>
    <xf numFmtId="0" fontId="0" fillId="2" borderId="0" xfId="0" applyFill="1"/>
    <xf numFmtId="0" fontId="27" fillId="4" borderId="1" xfId="0" applyFont="1" applyFill="1" applyBorder="1" applyAlignment="1">
      <alignment horizontal="center" vertical="center"/>
    </xf>
    <xf numFmtId="0" fontId="29" fillId="4" borderId="1" xfId="0" applyFont="1" applyFill="1" applyBorder="1" applyAlignment="1">
      <alignment horizontal="center" vertical="center"/>
    </xf>
    <xf numFmtId="0" fontId="30" fillId="4" borderId="1" xfId="0" applyFont="1" applyFill="1" applyBorder="1" applyAlignment="1">
      <alignment horizontal="center" vertical="center"/>
    </xf>
    <xf numFmtId="0" fontId="28" fillId="4" borderId="1" xfId="0" applyFont="1" applyFill="1" applyBorder="1" applyAlignment="1">
      <alignment horizontal="center" vertical="center"/>
    </xf>
    <xf numFmtId="0" fontId="34" fillId="4" borderId="1" xfId="0" applyFont="1" applyFill="1" applyBorder="1" applyAlignment="1">
      <alignment horizontal="center" vertical="center"/>
    </xf>
    <xf numFmtId="0" fontId="31" fillId="3" borderId="1" xfId="0" applyFont="1" applyFill="1" applyBorder="1" applyAlignment="1">
      <alignment horizontal="center" vertical="center"/>
    </xf>
    <xf numFmtId="0" fontId="32" fillId="3" borderId="1" xfId="0" applyFont="1" applyFill="1" applyBorder="1" applyAlignment="1">
      <alignment horizontal="center" vertical="center"/>
    </xf>
    <xf numFmtId="0" fontId="33" fillId="3" borderId="1" xfId="0" applyFont="1" applyFill="1" applyBorder="1" applyAlignment="1">
      <alignment horizontal="center" vertical="center"/>
    </xf>
    <xf numFmtId="0" fontId="31" fillId="2" borderId="1" xfId="0" applyFont="1" applyFill="1" applyBorder="1" applyAlignment="1">
      <alignment horizontal="center" vertical="center"/>
    </xf>
    <xf numFmtId="0" fontId="32" fillId="2" borderId="1" xfId="0" applyFont="1" applyFill="1" applyBorder="1" applyAlignment="1">
      <alignment horizontal="center" vertical="center"/>
    </xf>
    <xf numFmtId="0" fontId="33" fillId="2" borderId="1" xfId="0" applyFont="1" applyFill="1" applyBorder="1" applyAlignment="1">
      <alignment horizontal="center" vertical="center"/>
    </xf>
    <xf numFmtId="0" fontId="40" fillId="4" borderId="1" xfId="0" applyFont="1" applyFill="1" applyBorder="1" applyAlignment="1">
      <alignment horizontal="center" vertical="center"/>
    </xf>
    <xf numFmtId="0" fontId="41" fillId="4" borderId="1" xfId="0" applyFont="1" applyFill="1" applyBorder="1" applyAlignment="1">
      <alignment horizontal="center" vertical="center"/>
    </xf>
    <xf numFmtId="0" fontId="42" fillId="3" borderId="1" xfId="0" applyFont="1" applyFill="1" applyBorder="1" applyAlignment="1">
      <alignment horizontal="center" vertical="center"/>
    </xf>
    <xf numFmtId="0" fontId="43" fillId="3" borderId="1" xfId="0" applyFont="1" applyFill="1" applyBorder="1" applyAlignment="1">
      <alignment horizontal="center" vertical="center"/>
    </xf>
    <xf numFmtId="0" fontId="42" fillId="2" borderId="1" xfId="0" applyFont="1" applyFill="1" applyBorder="1" applyAlignment="1">
      <alignment horizontal="center" vertical="center"/>
    </xf>
    <xf numFmtId="0" fontId="43" fillId="2" borderId="1" xfId="0" applyFont="1" applyFill="1" applyBorder="1" applyAlignment="1">
      <alignment horizontal="center" vertical="center"/>
    </xf>
    <xf numFmtId="0" fontId="44" fillId="4"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45" fillId="4" borderId="1" xfId="0" applyFont="1" applyFill="1" applyBorder="1" applyAlignment="1">
      <alignment horizontal="center" vertical="center"/>
    </xf>
    <xf numFmtId="0" fontId="12" fillId="2" borderId="1" xfId="0" applyFont="1" applyFill="1" applyBorder="1" applyAlignment="1">
      <alignment horizontal="center" vertical="center"/>
    </xf>
    <xf numFmtId="0" fontId="12" fillId="3" borderId="1" xfId="0" applyFont="1" applyFill="1" applyBorder="1" applyAlignment="1">
      <alignment horizontal="center" vertical="center"/>
    </xf>
    <xf numFmtId="0" fontId="1" fillId="3" borderId="0" xfId="0" applyFont="1" applyFill="1" applyAlignment="1">
      <alignment horizontal="left" vertical="center"/>
    </xf>
    <xf numFmtId="0" fontId="0" fillId="0" borderId="0" xfId="0"/>
    <xf numFmtId="0" fontId="18" fillId="4" borderId="1" xfId="0" applyFont="1" applyFill="1" applyBorder="1" applyAlignment="1">
      <alignment horizontal="left" vertical="center"/>
    </xf>
    <xf numFmtId="0" fontId="0" fillId="0" borderId="2" xfId="0" applyBorder="1"/>
    <xf numFmtId="0" fontId="0" fillId="0" borderId="3" xfId="0" applyBorder="1"/>
    <xf numFmtId="0" fontId="17" fillId="3" borderId="0" xfId="0" applyFont="1" applyFill="1" applyAlignment="1">
      <alignment horizontal="left" vertical="center"/>
    </xf>
    <xf numFmtId="0" fontId="22" fillId="3" borderId="1" xfId="0" applyFont="1" applyFill="1" applyBorder="1" applyAlignment="1">
      <alignment horizontal="center" vertical="center"/>
    </xf>
    <xf numFmtId="0" fontId="20" fillId="3" borderId="1" xfId="0" applyFont="1" applyFill="1" applyBorder="1" applyAlignment="1">
      <alignment horizontal="center" vertical="center"/>
    </xf>
    <xf numFmtId="0" fontId="4" fillId="4" borderId="1" xfId="0" applyFont="1" applyFill="1" applyBorder="1" applyAlignment="1">
      <alignment horizontal="left" vertical="center"/>
    </xf>
    <xf numFmtId="0" fontId="19" fillId="3" borderId="1" xfId="0" applyFont="1" applyFill="1" applyBorder="1" applyAlignment="1">
      <alignment horizontal="center" vertical="center"/>
    </xf>
    <xf numFmtId="0" fontId="25" fillId="3" borderId="1" xfId="0" applyFont="1" applyFill="1" applyBorder="1" applyAlignment="1">
      <alignment horizontal="center" vertical="center"/>
    </xf>
    <xf numFmtId="0" fontId="21" fillId="3" borderId="1" xfId="0" applyFont="1" applyFill="1" applyBorder="1" applyAlignment="1">
      <alignment horizontal="center" vertical="center"/>
    </xf>
    <xf numFmtId="0" fontId="23" fillId="3" borderId="1" xfId="0" applyFont="1" applyFill="1" applyBorder="1" applyAlignment="1">
      <alignment horizontal="center" vertical="center"/>
    </xf>
    <xf numFmtId="0" fontId="6" fillId="4" borderId="1" xfId="0" applyFont="1" applyFill="1" applyBorder="1" applyAlignment="1">
      <alignment horizontal="left" vertical="center"/>
    </xf>
    <xf numFmtId="0" fontId="16" fillId="5" borderId="0" xfId="0" applyFont="1" applyFill="1" applyAlignment="1">
      <alignment horizontal="left" vertical="center"/>
    </xf>
    <xf numFmtId="0" fontId="24" fillId="3" borderId="1" xfId="0" applyFont="1" applyFill="1" applyBorder="1" applyAlignment="1">
      <alignment horizontal="center" vertical="center"/>
    </xf>
    <xf numFmtId="0" fontId="26" fillId="3" borderId="1" xfId="0" applyFont="1" applyFill="1" applyBorder="1" applyAlignment="1">
      <alignment horizontal="center" vertical="center"/>
    </xf>
    <xf numFmtId="0" fontId="7" fillId="4" borderId="1" xfId="0" applyFont="1" applyFill="1" applyBorder="1" applyAlignment="1">
      <alignment horizontal="left" vertical="center"/>
    </xf>
    <xf numFmtId="0" fontId="27" fillId="4" borderId="1" xfId="0" applyFont="1" applyFill="1" applyBorder="1" applyAlignment="1">
      <alignment horizontal="center" vertical="center"/>
    </xf>
    <xf numFmtId="0" fontId="8" fillId="4" borderId="1" xfId="0" applyFont="1" applyFill="1" applyBorder="1" applyAlignment="1">
      <alignment horizontal="left" vertical="center"/>
    </xf>
    <xf numFmtId="0" fontId="35" fillId="3" borderId="1" xfId="0" applyFont="1" applyFill="1" applyBorder="1" applyAlignment="1">
      <alignment horizontal="center" vertical="center"/>
    </xf>
    <xf numFmtId="0" fontId="22" fillId="5" borderId="0" xfId="0" applyFont="1" applyFill="1" applyAlignment="1">
      <alignment horizontal="left" vertical="center"/>
    </xf>
    <xf numFmtId="0" fontId="18" fillId="4" borderId="1" xfId="0" applyFont="1" applyFill="1" applyBorder="1" applyAlignment="1">
      <alignment horizontal="center" vertical="center"/>
    </xf>
    <xf numFmtId="0" fontId="36" fillId="3" borderId="1" xfId="0" applyFont="1" applyFill="1" applyBorder="1" applyAlignment="1">
      <alignment horizontal="center" vertical="center"/>
    </xf>
    <xf numFmtId="0" fontId="37" fillId="3" borderId="1" xfId="0" applyFont="1" applyFill="1" applyBorder="1" applyAlignment="1">
      <alignment horizontal="center" vertical="center"/>
    </xf>
    <xf numFmtId="0" fontId="38" fillId="3" borderId="1" xfId="0" applyFont="1" applyFill="1" applyBorder="1" applyAlignment="1">
      <alignment horizontal="center" vertical="center"/>
    </xf>
    <xf numFmtId="0" fontId="39" fillId="3" borderId="1" xfId="0" applyFont="1" applyFill="1" applyBorder="1" applyAlignment="1">
      <alignment horizontal="center" vertical="center"/>
    </xf>
    <xf numFmtId="0" fontId="11" fillId="4" borderId="1" xfId="0" applyFont="1" applyFill="1" applyBorder="1" applyAlignment="1">
      <alignment horizontal="left" vertical="center"/>
    </xf>
    <xf numFmtId="0" fontId="23" fillId="5" borderId="0" xfId="0" applyFont="1" applyFill="1" applyAlignment="1">
      <alignment horizontal="left" vertical="center"/>
    </xf>
    <xf numFmtId="0" fontId="25" fillId="5" borderId="0" xfId="0" applyFont="1" applyFill="1" applyAlignment="1">
      <alignment horizontal="left" vertical="center"/>
    </xf>
    <xf numFmtId="0" fontId="12" fillId="4" borderId="1" xfId="0" applyFont="1" applyFill="1" applyBorder="1" applyAlignment="1">
      <alignment horizontal="left" vertical="center"/>
    </xf>
    <xf numFmtId="0" fontId="48" fillId="3" borderId="1" xfId="0" applyFont="1" applyFill="1" applyBorder="1" applyAlignment="1">
      <alignment horizontal="left" vertical="center"/>
    </xf>
    <xf numFmtId="0" fontId="13" fillId="3" borderId="1" xfId="0" applyFont="1" applyFill="1" applyBorder="1" applyAlignment="1">
      <alignment horizontal="left" vertical="center"/>
    </xf>
    <xf numFmtId="0" fontId="49" fillId="3" borderId="1" xfId="0" applyFont="1" applyFill="1" applyBorder="1" applyAlignment="1">
      <alignment horizontal="left" vertical="center"/>
    </xf>
    <xf numFmtId="0" fontId="47" fillId="3" borderId="1" xfId="0" applyFont="1" applyFill="1" applyBorder="1" applyAlignment="1">
      <alignment horizontal="left" vertical="center"/>
    </xf>
    <xf numFmtId="0" fontId="17" fillId="3" borderId="1" xfId="0" applyFont="1" applyFill="1" applyBorder="1" applyAlignment="1">
      <alignment horizontal="left" vertical="center"/>
    </xf>
    <xf numFmtId="0" fontId="32" fillId="3" borderId="1" xfId="0" applyFont="1" applyFill="1" applyBorder="1" applyAlignment="1">
      <alignment horizontal="left" vertical="center"/>
    </xf>
    <xf numFmtId="0" fontId="51" fillId="4" borderId="1" xfId="0" applyFont="1" applyFill="1" applyBorder="1" applyAlignment="1">
      <alignment horizontal="left" vertical="center"/>
    </xf>
    <xf numFmtId="0" fontId="52" fillId="3" borderId="1" xfId="0" applyFont="1" applyFill="1" applyBorder="1" applyAlignment="1">
      <alignment horizontal="left" vertical="center"/>
    </xf>
    <xf numFmtId="0" fontId="49" fillId="4" borderId="1" xfId="0" applyFont="1" applyFill="1" applyBorder="1" applyAlignment="1">
      <alignment horizontal="left" vertical="center"/>
    </xf>
    <xf numFmtId="0" fontId="51" fillId="3" borderId="1" xfId="0" applyFont="1" applyFill="1" applyBorder="1" applyAlignment="1">
      <alignment horizontal="left" vertical="center"/>
    </xf>
    <xf numFmtId="0" fontId="31" fillId="3" borderId="0" xfId="0" applyFont="1" applyFill="1" applyAlignment="1">
      <alignment horizontal="center" vertical="center"/>
    </xf>
    <xf numFmtId="0" fontId="53" fillId="3" borderId="1" xfId="0" applyFont="1" applyFill="1" applyBorder="1" applyAlignment="1">
      <alignment horizontal="left" vertical="center"/>
    </xf>
    <xf numFmtId="0" fontId="50" fillId="3" borderId="1" xfId="0" applyFont="1" applyFill="1" applyBorder="1" applyAlignment="1">
      <alignment horizontal="left" vertical="center"/>
    </xf>
    <xf numFmtId="0" fontId="52" fillId="4" borderId="1" xfId="0" applyFont="1" applyFill="1" applyBorder="1" applyAlignment="1">
      <alignment horizontal="left" vertical="center"/>
    </xf>
    <xf numFmtId="0" fontId="46" fillId="5" borderId="0" xfId="0" applyFont="1" applyFill="1" applyAlignment="1">
      <alignment horizontal="center" vertical="center"/>
    </xf>
    <xf numFmtId="0" fontId="47" fillId="4" borderId="1" xfId="0" applyFont="1" applyFill="1" applyBorder="1" applyAlignment="1">
      <alignment horizontal="left" vertical="center"/>
    </xf>
    <xf numFmtId="0" fontId="0" fillId="6" borderId="0" xfId="0" applyFill="1"/>
    <xf numFmtId="0" fontId="56" fillId="6" borderId="0" xfId="0" applyFont="1" applyFill="1"/>
    <xf numFmtId="0" fontId="57" fillId="7" borderId="0" xfId="0" applyFont="1" applyFill="1"/>
    <xf numFmtId="0" fontId="54" fillId="6" borderId="0" xfId="0" applyFont="1" applyFill="1"/>
    <xf numFmtId="164" fontId="56" fillId="6" borderId="0" xfId="0" applyNumberFormat="1" applyFont="1" applyFill="1"/>
    <xf numFmtId="0" fontId="56" fillId="6" borderId="0" xfId="0" applyFont="1" applyFill="1" applyAlignment="1">
      <alignment horizontal="left"/>
    </xf>
    <xf numFmtId="0" fontId="56" fillId="6" borderId="0" xfId="0" applyNumberFormat="1" applyFont="1" applyFill="1"/>
    <xf numFmtId="0" fontId="55" fillId="7" borderId="0" xfId="0" applyFont="1" applyFill="1"/>
  </cellXfs>
  <cellStyles count="1">
    <cellStyle name="Normal" xfId="0" builtinId="0"/>
  </cellStyles>
  <dxfs count="40">
    <dxf>
      <fill>
        <patternFill patternType="solid">
          <bgColor rgb="FF0F0F0F"/>
        </patternFill>
      </fill>
    </dxf>
    <dxf>
      <fill>
        <patternFill patternType="solid">
          <bgColor rgb="FF0F0F0F"/>
        </patternFill>
      </fill>
    </dxf>
    <dxf>
      <fill>
        <patternFill patternType="solid">
          <bgColor rgb="FF0F0F0F"/>
        </patternFill>
      </fill>
    </dxf>
    <dxf>
      <fill>
        <patternFill patternType="solid">
          <bgColor rgb="FF0F0F0F"/>
        </patternFill>
      </fill>
    </dxf>
    <dxf>
      <fill>
        <patternFill patternType="solid">
          <bgColor rgb="FF0F0F0F"/>
        </patternFill>
      </fill>
    </dxf>
    <dxf>
      <fill>
        <patternFill patternType="solid">
          <bgColor rgb="FF0F0F0F"/>
        </patternFill>
      </fill>
    </dxf>
    <dxf>
      <fill>
        <patternFill patternType="solid">
          <bgColor rgb="FF0F0F0F"/>
        </patternFill>
      </fill>
    </dxf>
    <dxf>
      <fill>
        <patternFill patternType="solid">
          <bgColor rgb="FF0F0F0F"/>
        </patternFill>
      </fill>
    </dxf>
    <dxf>
      <fill>
        <patternFill patternType="solid">
          <bgColor rgb="FF0F0F0F"/>
        </patternFill>
      </fill>
    </dxf>
    <dxf>
      <fill>
        <patternFill patternType="solid">
          <bgColor rgb="FF0F0F0F"/>
        </patternFill>
      </fill>
    </dxf>
    <dxf>
      <fill>
        <patternFill patternType="solid">
          <bgColor rgb="FF0F0F0F"/>
        </patternFill>
      </fill>
    </dxf>
    <dxf>
      <fill>
        <patternFill patternType="solid">
          <bgColor rgb="FF0F0F0F"/>
        </patternFill>
      </fill>
    </dxf>
    <dxf>
      <fill>
        <patternFill patternType="solid">
          <bgColor rgb="FF0F0F0F"/>
        </patternFill>
      </fill>
    </dxf>
    <dxf>
      <fill>
        <patternFill patternType="solid">
          <bgColor rgb="FF0F0F0F"/>
        </patternFill>
      </fill>
    </dxf>
    <dxf>
      <fill>
        <patternFill patternType="solid">
          <bgColor rgb="FF0F0F0F"/>
        </patternFill>
      </fill>
    </dxf>
    <dxf>
      <fill>
        <patternFill patternType="solid">
          <bgColor rgb="FF0F0F0F"/>
        </patternFill>
      </fill>
    </dxf>
    <dxf>
      <fill>
        <patternFill patternType="solid">
          <bgColor rgb="FF0F0F0F"/>
        </patternFill>
      </fill>
    </dxf>
    <dxf>
      <fill>
        <patternFill patternType="solid">
          <bgColor rgb="FF0F0F0F"/>
        </patternFill>
      </fill>
    </dxf>
    <dxf>
      <fill>
        <patternFill patternType="solid">
          <bgColor rgb="FF0F0F0F"/>
        </patternFill>
      </fill>
    </dxf>
    <dxf>
      <fill>
        <patternFill patternType="solid">
          <bgColor rgb="FF0F0F0F"/>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9" defaultPivotStyle="PivotStyleLight16"/>
  <colors>
    <mruColors>
      <color rgb="FF0F0F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8.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9.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0.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strRef>
              <c:f>'BLOOMBERG MAIN'!$B$13</c:f>
              <c:strCache>
                <c:ptCount val="1"/>
              </c:strCache>
            </c:strRef>
          </c:tx>
          <c:spPr>
            <a:ln>
              <a:solidFill>
                <a:srgbClr val="FFB300"/>
              </a:solidFill>
              <a:prstDash val="solid"/>
            </a:ln>
          </c:spPr>
          <c:marker>
            <c:symbol val="none"/>
          </c:marker>
          <c:cat>
            <c:strRef>
              <c:f>'BLOOMBERG MAIN'!$A$14:$A$37</c:f>
              <c:strCache>
                <c:ptCount val="24"/>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strCache>
            </c:strRef>
          </c:cat>
          <c:val>
            <c:numRef>
              <c:f>'BLOOMBERG MAIN'!$B$14:$B$37</c:f>
              <c:numCache>
                <c:formatCode>General</c:formatCode>
                <c:ptCount val="24"/>
                <c:pt idx="0">
                  <c:v>24387212</c:v>
                </c:pt>
                <c:pt idx="1">
                  <c:v>19948984</c:v>
                </c:pt>
                <c:pt idx="2">
                  <c:v>22004735</c:v>
                </c:pt>
                <c:pt idx="3">
                  <c:v>36260053</c:v>
                </c:pt>
                <c:pt idx="4">
                  <c:v>23587309</c:v>
                </c:pt>
                <c:pt idx="5">
                  <c:v>17454874</c:v>
                </c:pt>
                <c:pt idx="6">
                  <c:v>18870162</c:v>
                </c:pt>
                <c:pt idx="7">
                  <c:v>22071286</c:v>
                </c:pt>
                <c:pt idx="8">
                  <c:v>26291123</c:v>
                </c:pt>
                <c:pt idx="9">
                  <c:v>26681081</c:v>
                </c:pt>
                <c:pt idx="10">
                  <c:v>19573299</c:v>
                </c:pt>
                <c:pt idx="11">
                  <c:v>18838620</c:v>
                </c:pt>
                <c:pt idx="12">
                  <c:v>27770293</c:v>
                </c:pt>
                <c:pt idx="13">
                  <c:v>17879007</c:v>
                </c:pt>
                <c:pt idx="14">
                  <c:v>21189375</c:v>
                </c:pt>
                <c:pt idx="15">
                  <c:v>24410502</c:v>
                </c:pt>
                <c:pt idx="16">
                  <c:v>26424492</c:v>
                </c:pt>
                <c:pt idx="17">
                  <c:v>19498035</c:v>
                </c:pt>
                <c:pt idx="18">
                  <c:v>29913673</c:v>
                </c:pt>
                <c:pt idx="19">
                  <c:v>29469357</c:v>
                </c:pt>
                <c:pt idx="20">
                  <c:v>23976935</c:v>
                </c:pt>
                <c:pt idx="21">
                  <c:v>9651542</c:v>
                </c:pt>
                <c:pt idx="22">
                  <c:v>21675794</c:v>
                </c:pt>
                <c:pt idx="23">
                  <c:v>25839131</c:v>
                </c:pt>
              </c:numCache>
            </c:numRef>
          </c:val>
          <c:smooth val="1"/>
          <c:extLst>
            <c:ext xmlns:c16="http://schemas.microsoft.com/office/drawing/2014/chart" uri="{C3380CC4-5D6E-409C-BE32-E72D297353CC}">
              <c16:uniqueId val="{00000000-5078-40A7-B3A3-9BC047E0DCD5}"/>
            </c:ext>
          </c:extLst>
        </c:ser>
        <c:ser>
          <c:idx val="1"/>
          <c:order val="1"/>
          <c:tx>
            <c:strRef>
              <c:f>'BLOOMBERG MAIN'!$C$13</c:f>
              <c:strCache>
                <c:ptCount val="1"/>
                <c:pt idx="0">
                  <c:v>RETURNS($)</c:v>
                </c:pt>
              </c:strCache>
            </c:strRef>
          </c:tx>
          <c:spPr>
            <a:ln>
              <a:solidFill>
                <a:srgbClr val="00E676"/>
              </a:solidFill>
              <a:prstDash val="solid"/>
            </a:ln>
          </c:spPr>
          <c:marker>
            <c:symbol val="none"/>
          </c:marker>
          <c:cat>
            <c:strRef>
              <c:f>'BLOOMBERG MAIN'!$A$14:$A$37</c:f>
              <c:strCache>
                <c:ptCount val="24"/>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strCache>
            </c:strRef>
          </c:cat>
          <c:val>
            <c:numRef>
              <c:f>'BLOOMBERG MAIN'!$C$14:$C$37</c:f>
              <c:numCache>
                <c:formatCode>General</c:formatCode>
                <c:ptCount val="24"/>
                <c:pt idx="0">
                  <c:v>27433280</c:v>
                </c:pt>
                <c:pt idx="1">
                  <c:v>23492452</c:v>
                </c:pt>
                <c:pt idx="2">
                  <c:v>26043098</c:v>
                </c:pt>
                <c:pt idx="3">
                  <c:v>42838051</c:v>
                </c:pt>
                <c:pt idx="4">
                  <c:v>28172840</c:v>
                </c:pt>
                <c:pt idx="5">
                  <c:v>20522007</c:v>
                </c:pt>
                <c:pt idx="6">
                  <c:v>22130646</c:v>
                </c:pt>
                <c:pt idx="7">
                  <c:v>25873829</c:v>
                </c:pt>
                <c:pt idx="8">
                  <c:v>28258604</c:v>
                </c:pt>
                <c:pt idx="9">
                  <c:v>29977233</c:v>
                </c:pt>
                <c:pt idx="10">
                  <c:v>21467427</c:v>
                </c:pt>
                <c:pt idx="11">
                  <c:v>23745393</c:v>
                </c:pt>
                <c:pt idx="12">
                  <c:v>31690673</c:v>
                </c:pt>
                <c:pt idx="13">
                  <c:v>18148576</c:v>
                </c:pt>
                <c:pt idx="14">
                  <c:v>22844530</c:v>
                </c:pt>
                <c:pt idx="15">
                  <c:v>26537709</c:v>
                </c:pt>
                <c:pt idx="16">
                  <c:v>30343139</c:v>
                </c:pt>
                <c:pt idx="17">
                  <c:v>23154333</c:v>
                </c:pt>
                <c:pt idx="18">
                  <c:v>31699547</c:v>
                </c:pt>
                <c:pt idx="19">
                  <c:v>34217163</c:v>
                </c:pt>
                <c:pt idx="20">
                  <c:v>27371642</c:v>
                </c:pt>
                <c:pt idx="21">
                  <c:v>10957336</c:v>
                </c:pt>
                <c:pt idx="22">
                  <c:v>24381373</c:v>
                </c:pt>
                <c:pt idx="23">
                  <c:v>28020811</c:v>
                </c:pt>
              </c:numCache>
            </c:numRef>
          </c:val>
          <c:smooth val="1"/>
          <c:extLst>
            <c:ext xmlns:c16="http://schemas.microsoft.com/office/drawing/2014/chart" uri="{C3380CC4-5D6E-409C-BE32-E72D297353CC}">
              <c16:uniqueId val="{00000001-5078-40A7-B3A3-9BC047E0DCD5}"/>
            </c:ext>
          </c:extLst>
        </c:ser>
        <c:ser>
          <c:idx val="2"/>
          <c:order val="2"/>
          <c:tx>
            <c:strRef>
              <c:f>'BLOOMBERG MAIN'!$D$13</c:f>
              <c:strCache>
                <c:ptCount val="1"/>
                <c:pt idx="0">
                  <c:v>P&amp;L($)</c:v>
                </c:pt>
              </c:strCache>
            </c:strRef>
          </c:tx>
          <c:spPr>
            <a:ln w="25000">
              <a:solidFill>
                <a:srgbClr val="FF6600"/>
              </a:solidFill>
              <a:prstDash val="solid"/>
            </a:ln>
          </c:spPr>
          <c:marker>
            <c:symbol val="none"/>
          </c:marker>
          <c:cat>
            <c:strRef>
              <c:f>'BLOOMBERG MAIN'!$A$14:$A$37</c:f>
              <c:strCache>
                <c:ptCount val="24"/>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strCache>
            </c:strRef>
          </c:cat>
          <c:val>
            <c:numRef>
              <c:f>'BLOOMBERG MAIN'!$D$14:$D$37</c:f>
              <c:numCache>
                <c:formatCode>General</c:formatCode>
                <c:ptCount val="24"/>
                <c:pt idx="0">
                  <c:v>3046069</c:v>
                </c:pt>
                <c:pt idx="1">
                  <c:v>3543467</c:v>
                </c:pt>
                <c:pt idx="2">
                  <c:v>4038363</c:v>
                </c:pt>
                <c:pt idx="3">
                  <c:v>6577998</c:v>
                </c:pt>
                <c:pt idx="4">
                  <c:v>4585531</c:v>
                </c:pt>
                <c:pt idx="5">
                  <c:v>3067132</c:v>
                </c:pt>
                <c:pt idx="6">
                  <c:v>3260485</c:v>
                </c:pt>
                <c:pt idx="7">
                  <c:v>3802543</c:v>
                </c:pt>
                <c:pt idx="8">
                  <c:v>1967481</c:v>
                </c:pt>
                <c:pt idx="9">
                  <c:v>3296152</c:v>
                </c:pt>
                <c:pt idx="10">
                  <c:v>1894128</c:v>
                </c:pt>
                <c:pt idx="11">
                  <c:v>4906773</c:v>
                </c:pt>
                <c:pt idx="12">
                  <c:v>3920380</c:v>
                </c:pt>
                <c:pt idx="13">
                  <c:v>269569</c:v>
                </c:pt>
                <c:pt idx="14">
                  <c:v>1655155</c:v>
                </c:pt>
                <c:pt idx="15">
                  <c:v>2127208</c:v>
                </c:pt>
                <c:pt idx="16">
                  <c:v>3918647</c:v>
                </c:pt>
                <c:pt idx="17">
                  <c:v>3656298</c:v>
                </c:pt>
                <c:pt idx="18">
                  <c:v>1785874</c:v>
                </c:pt>
                <c:pt idx="19">
                  <c:v>4747806</c:v>
                </c:pt>
                <c:pt idx="20">
                  <c:v>3394707</c:v>
                </c:pt>
                <c:pt idx="21">
                  <c:v>1305794</c:v>
                </c:pt>
                <c:pt idx="22">
                  <c:v>2705579</c:v>
                </c:pt>
                <c:pt idx="23">
                  <c:v>2181680</c:v>
                </c:pt>
              </c:numCache>
            </c:numRef>
          </c:val>
          <c:smooth val="1"/>
          <c:extLst>
            <c:ext xmlns:c16="http://schemas.microsoft.com/office/drawing/2014/chart" uri="{C3380CC4-5D6E-409C-BE32-E72D297353CC}">
              <c16:uniqueId val="{00000002-5078-40A7-B3A3-9BC047E0DCD5}"/>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mmm\-yy" sourceLinked="0"/>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tx>
            <c:strRef>
              <c:f>'BLOOMBERG MAIN'!$X$13</c:f>
              <c:strCache>
                <c:ptCount val="1"/>
                <c:pt idx="0">
                  <c:v>CAPITAL</c:v>
                </c:pt>
              </c:strCache>
            </c:strRef>
          </c:tx>
          <c:spPr>
            <a:ln>
              <a:prstDash val="solid"/>
            </a:ln>
          </c:spPr>
          <c:cat>
            <c:strRef>
              <c:f>'BLOOMBERG MAIN'!$W$14:$W$20</c:f>
              <c:strCache>
                <c:ptCount val="7"/>
                <c:pt idx="0">
                  <c:v>Comm.</c:v>
                </c:pt>
                <c:pt idx="1">
                  <c:v>Cons. Disc.</c:v>
                </c:pt>
                <c:pt idx="2">
                  <c:v>Energy</c:v>
                </c:pt>
                <c:pt idx="3">
                  <c:v>Financials</c:v>
                </c:pt>
                <c:pt idx="4">
                  <c:v>Healthcare</c:v>
                </c:pt>
                <c:pt idx="5">
                  <c:v>Industrials</c:v>
                </c:pt>
                <c:pt idx="6">
                  <c:v>Technology</c:v>
                </c:pt>
              </c:strCache>
            </c:strRef>
          </c:cat>
          <c:val>
            <c:numRef>
              <c:f>'BLOOMBERG MAIN'!$X$14:$X$20</c:f>
              <c:numCache>
                <c:formatCode>General</c:formatCode>
                <c:ptCount val="7"/>
                <c:pt idx="0">
                  <c:v>42329037</c:v>
                </c:pt>
                <c:pt idx="1">
                  <c:v>28903710</c:v>
                </c:pt>
                <c:pt idx="2">
                  <c:v>34547615</c:v>
                </c:pt>
                <c:pt idx="3">
                  <c:v>117760007</c:v>
                </c:pt>
                <c:pt idx="4">
                  <c:v>80290834</c:v>
                </c:pt>
                <c:pt idx="5">
                  <c:v>57215035</c:v>
                </c:pt>
                <c:pt idx="6">
                  <c:v>192620633</c:v>
                </c:pt>
              </c:numCache>
            </c:numRef>
          </c:val>
          <c:extLst>
            <c:ext xmlns:c16="http://schemas.microsoft.com/office/drawing/2014/chart" uri="{C3380CC4-5D6E-409C-BE32-E72D297353CC}">
              <c16:uniqueId val="{00000000-D9E0-4723-AE5F-F39AA0AAB0A9}"/>
            </c:ext>
          </c:extLst>
        </c:ser>
        <c:dLbls>
          <c:showLegendKey val="0"/>
          <c:showVal val="0"/>
          <c:showCatName val="0"/>
          <c:showSerName val="0"/>
          <c:showPercent val="0"/>
          <c:showBubbleSize val="0"/>
          <c:showLeaderLines val="1"/>
        </c:dLbls>
        <c:firstSliceAng val="0"/>
        <c:holeSize val="60"/>
      </c:doughnutChart>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tx>
            <c:strRef>
              <c:f>'EQUITY SCREEN'!$F$4</c:f>
              <c:strCache>
                <c:ptCount val="1"/>
                <c:pt idx="0">
                  <c:v>P&amp;L($)</c:v>
                </c:pt>
              </c:strCache>
            </c:strRef>
          </c:tx>
          <c:spPr>
            <a:solidFill>
              <a:srgbClr val="FF6600"/>
            </a:solidFill>
            <a:ln>
              <a:prstDash val="solid"/>
            </a:ln>
          </c:spPr>
          <c:invertIfNegative val="1"/>
          <c:cat>
            <c:strRef>
              <c:f>'EQUITY SCREEN'!$B$5:$B$24</c:f>
              <c:strCache>
                <c:ptCount val="20"/>
                <c:pt idx="0">
                  <c:v>LLY</c:v>
                </c:pt>
                <c:pt idx="1">
                  <c:v>NVDA</c:v>
                </c:pt>
                <c:pt idx="2">
                  <c:v>NFLX</c:v>
                </c:pt>
                <c:pt idx="3">
                  <c:v>GS</c:v>
                </c:pt>
                <c:pt idx="4">
                  <c:v>MSFT</c:v>
                </c:pt>
                <c:pt idx="5">
                  <c:v>CAT</c:v>
                </c:pt>
                <c:pt idx="6">
                  <c:v>BA</c:v>
                </c:pt>
                <c:pt idx="7">
                  <c:v>META</c:v>
                </c:pt>
                <c:pt idx="8">
                  <c:v>BLK</c:v>
                </c:pt>
                <c:pt idx="9">
                  <c:v>AAPL</c:v>
                </c:pt>
                <c:pt idx="10">
                  <c:v>JNJ</c:v>
                </c:pt>
                <c:pt idx="11">
                  <c:v>CVX</c:v>
                </c:pt>
                <c:pt idx="12">
                  <c:v>GOOGL</c:v>
                </c:pt>
                <c:pt idx="13">
                  <c:v>JPM</c:v>
                </c:pt>
                <c:pt idx="14">
                  <c:v>AMZN</c:v>
                </c:pt>
                <c:pt idx="15">
                  <c:v>TSLA</c:v>
                </c:pt>
                <c:pt idx="16">
                  <c:v>OXY</c:v>
                </c:pt>
                <c:pt idx="17">
                  <c:v>PFE</c:v>
                </c:pt>
                <c:pt idx="18">
                  <c:v>XOM</c:v>
                </c:pt>
                <c:pt idx="19">
                  <c:v>MS</c:v>
                </c:pt>
              </c:strCache>
            </c:strRef>
          </c:cat>
          <c:val>
            <c:numRef>
              <c:f>'EQUITY SCREEN'!$F$5:$F$24</c:f>
              <c:numCache>
                <c:formatCode>General</c:formatCode>
                <c:ptCount val="20"/>
                <c:pt idx="0">
                  <c:v>11976781</c:v>
                </c:pt>
                <c:pt idx="1">
                  <c:v>8667476</c:v>
                </c:pt>
                <c:pt idx="2">
                  <c:v>7109220</c:v>
                </c:pt>
                <c:pt idx="3">
                  <c:v>6960967</c:v>
                </c:pt>
                <c:pt idx="4">
                  <c:v>5374616</c:v>
                </c:pt>
                <c:pt idx="5">
                  <c:v>4392488</c:v>
                </c:pt>
                <c:pt idx="6">
                  <c:v>4058222</c:v>
                </c:pt>
                <c:pt idx="7">
                  <c:v>4042491</c:v>
                </c:pt>
                <c:pt idx="8">
                  <c:v>3301363</c:v>
                </c:pt>
                <c:pt idx="9">
                  <c:v>3096691</c:v>
                </c:pt>
                <c:pt idx="10">
                  <c:v>3093321</c:v>
                </c:pt>
                <c:pt idx="11">
                  <c:v>2819080</c:v>
                </c:pt>
                <c:pt idx="12">
                  <c:v>2682515</c:v>
                </c:pt>
                <c:pt idx="13">
                  <c:v>1859696</c:v>
                </c:pt>
                <c:pt idx="14">
                  <c:v>1660840</c:v>
                </c:pt>
                <c:pt idx="15">
                  <c:v>1296986</c:v>
                </c:pt>
                <c:pt idx="16">
                  <c:v>924025</c:v>
                </c:pt>
                <c:pt idx="17">
                  <c:v>921651</c:v>
                </c:pt>
                <c:pt idx="18">
                  <c:v>801631</c:v>
                </c:pt>
                <c:pt idx="19">
                  <c:v>614757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B1CA-40CA-9255-9734E0513CD2}"/>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stacked"/>
        <c:varyColors val="1"/>
        <c:ser>
          <c:idx val="0"/>
          <c:order val="0"/>
          <c:tx>
            <c:strRef>
              <c:f>'RISK MONITOR'!$M$7</c:f>
              <c:strCache>
                <c:ptCount val="1"/>
                <c:pt idx="0">
                  <c:v>HIGH</c:v>
                </c:pt>
              </c:strCache>
            </c:strRef>
          </c:tx>
          <c:spPr>
            <a:solidFill>
              <a:srgbClr val="174400"/>
            </a:solidFill>
            <a:ln>
              <a:prstDash val="solid"/>
            </a:ln>
          </c:spPr>
          <c:invertIfNegative val="1"/>
          <c:cat>
            <c:strRef>
              <c:f>'RISK MONITOR'!$L$8:$L$14</c:f>
              <c:strCache>
                <c:ptCount val="7"/>
                <c:pt idx="0">
                  <c:v>Comm.</c:v>
                </c:pt>
                <c:pt idx="1">
                  <c:v>Cons. Disc.</c:v>
                </c:pt>
                <c:pt idx="2">
                  <c:v>Energy</c:v>
                </c:pt>
                <c:pt idx="3">
                  <c:v>Financials</c:v>
                </c:pt>
                <c:pt idx="4">
                  <c:v>Healthcare</c:v>
                </c:pt>
                <c:pt idx="5">
                  <c:v>Industrials</c:v>
                </c:pt>
                <c:pt idx="6">
                  <c:v>Technology</c:v>
                </c:pt>
              </c:strCache>
            </c:strRef>
          </c:cat>
          <c:val>
            <c:numRef>
              <c:f>'RISK MONITOR'!$M$8:$M$14</c:f>
              <c:numCache>
                <c:formatCode>General</c:formatCode>
                <c:ptCount val="7"/>
                <c:pt idx="0">
                  <c:v>17</c:v>
                </c:pt>
                <c:pt idx="1">
                  <c:v>33</c:v>
                </c:pt>
                <c:pt idx="2">
                  <c:v>48</c:v>
                </c:pt>
                <c:pt idx="3">
                  <c:v>65</c:v>
                </c:pt>
                <c:pt idx="4">
                  <c:v>69</c:v>
                </c:pt>
                <c:pt idx="5">
                  <c:v>51</c:v>
                </c:pt>
                <c:pt idx="6">
                  <c:v>107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2B34-4898-A063-5A08E671EC22}"/>
            </c:ext>
          </c:extLst>
        </c:ser>
        <c:ser>
          <c:idx val="1"/>
          <c:order val="1"/>
          <c:tx>
            <c:strRef>
              <c:f>'RISK MONITOR'!$N$7</c:f>
              <c:strCache>
                <c:ptCount val="1"/>
                <c:pt idx="0">
                  <c:v>MED</c:v>
                </c:pt>
              </c:strCache>
            </c:strRef>
          </c:tx>
          <c:spPr>
            <a:solidFill>
              <a:srgbClr val="FFD600"/>
            </a:solidFill>
            <a:ln>
              <a:prstDash val="solid"/>
            </a:ln>
          </c:spPr>
          <c:invertIfNegative val="1"/>
          <c:cat>
            <c:strRef>
              <c:f>'RISK MONITOR'!$L$8:$L$14</c:f>
              <c:strCache>
                <c:ptCount val="7"/>
                <c:pt idx="0">
                  <c:v>Comm.</c:v>
                </c:pt>
                <c:pt idx="1">
                  <c:v>Cons. Disc.</c:v>
                </c:pt>
                <c:pt idx="2">
                  <c:v>Energy</c:v>
                </c:pt>
                <c:pt idx="3">
                  <c:v>Financials</c:v>
                </c:pt>
                <c:pt idx="4">
                  <c:v>Healthcare</c:v>
                </c:pt>
                <c:pt idx="5">
                  <c:v>Industrials</c:v>
                </c:pt>
                <c:pt idx="6">
                  <c:v>Technology</c:v>
                </c:pt>
              </c:strCache>
            </c:strRef>
          </c:cat>
          <c:val>
            <c:numRef>
              <c:f>'RISK MONITOR'!$N$8:$N$14</c:f>
              <c:numCache>
                <c:formatCode>General</c:formatCode>
                <c:ptCount val="7"/>
                <c:pt idx="0">
                  <c:v>9</c:v>
                </c:pt>
                <c:pt idx="1">
                  <c:v>17</c:v>
                </c:pt>
                <c:pt idx="2">
                  <c:v>35</c:v>
                </c:pt>
                <c:pt idx="3">
                  <c:v>43</c:v>
                </c:pt>
                <c:pt idx="4">
                  <c:v>30</c:v>
                </c:pt>
                <c:pt idx="5">
                  <c:v>20</c:v>
                </c:pt>
                <c:pt idx="6">
                  <c:v>58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2B34-4898-A063-5A08E671EC22}"/>
            </c:ext>
          </c:extLst>
        </c:ser>
        <c:ser>
          <c:idx val="2"/>
          <c:order val="2"/>
          <c:tx>
            <c:strRef>
              <c:f>'RISK MONITOR'!$O$7</c:f>
              <c:strCache>
                <c:ptCount val="1"/>
                <c:pt idx="0">
                  <c:v>LOW</c:v>
                </c:pt>
              </c:strCache>
            </c:strRef>
          </c:tx>
          <c:spPr>
            <a:solidFill>
              <a:srgbClr val="E67600"/>
            </a:solidFill>
            <a:ln>
              <a:prstDash val="solid"/>
            </a:ln>
          </c:spPr>
          <c:invertIfNegative val="1"/>
          <c:cat>
            <c:strRef>
              <c:f>'RISK MONITOR'!$L$8:$L$14</c:f>
              <c:strCache>
                <c:ptCount val="7"/>
                <c:pt idx="0">
                  <c:v>Comm.</c:v>
                </c:pt>
                <c:pt idx="1">
                  <c:v>Cons. Disc.</c:v>
                </c:pt>
                <c:pt idx="2">
                  <c:v>Energy</c:v>
                </c:pt>
                <c:pt idx="3">
                  <c:v>Financials</c:v>
                </c:pt>
                <c:pt idx="4">
                  <c:v>Healthcare</c:v>
                </c:pt>
                <c:pt idx="5">
                  <c:v>Industrials</c:v>
                </c:pt>
                <c:pt idx="6">
                  <c:v>Technology</c:v>
                </c:pt>
              </c:strCache>
            </c:strRef>
          </c:cat>
          <c:val>
            <c:numRef>
              <c:f>'RISK MONITOR'!$O$8:$O$14</c:f>
              <c:numCache>
                <c:formatCode>General</c:formatCode>
                <c:ptCount val="7"/>
                <c:pt idx="0">
                  <c:v>11</c:v>
                </c:pt>
                <c:pt idx="1">
                  <c:v>14</c:v>
                </c:pt>
                <c:pt idx="2">
                  <c:v>30</c:v>
                </c:pt>
                <c:pt idx="3">
                  <c:v>40</c:v>
                </c:pt>
                <c:pt idx="4">
                  <c:v>30</c:v>
                </c:pt>
                <c:pt idx="5">
                  <c:v>19</c:v>
                </c:pt>
                <c:pt idx="6">
                  <c:v>54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2B34-4898-A063-5A08E671EC22}"/>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strRef>
              <c:f>'MANAGER ALPHA'!$B$4</c:f>
              <c:strCache>
                <c:ptCount val="1"/>
                <c:pt idx="0">
                  <c:v>CAPITAL($)</c:v>
                </c:pt>
              </c:strCache>
            </c:strRef>
          </c:tx>
          <c:spPr>
            <a:solidFill>
              <a:srgbClr val="B30000"/>
            </a:solidFill>
            <a:ln>
              <a:prstDash val="solid"/>
            </a:ln>
          </c:spPr>
          <c:invertIfNegative val="1"/>
          <c:cat>
            <c:strRef>
              <c:f>'MANAGER ALPHA'!$A$5:$A$9</c:f>
              <c:strCache>
                <c:ptCount val="5"/>
                <c:pt idx="0">
                  <c:v>B.Axelrod</c:v>
                </c:pt>
                <c:pt idx="1">
                  <c:v>D.Bill</c:v>
                </c:pt>
                <c:pt idx="2">
                  <c:v>W.Wagner</c:v>
                </c:pt>
                <c:pt idx="3">
                  <c:v>B.Kim</c:v>
                </c:pt>
                <c:pt idx="4">
                  <c:v>T.Mason</c:v>
                </c:pt>
              </c:strCache>
            </c:strRef>
          </c:cat>
          <c:val>
            <c:numRef>
              <c:f>'MANAGER ALPHA'!$B$5:$B$9</c:f>
              <c:numCache>
                <c:formatCode>General</c:formatCode>
                <c:ptCount val="5"/>
                <c:pt idx="0">
                  <c:v>99930094</c:v>
                </c:pt>
                <c:pt idx="1">
                  <c:v>123782761</c:v>
                </c:pt>
                <c:pt idx="2">
                  <c:v>127383418</c:v>
                </c:pt>
                <c:pt idx="3">
                  <c:v>105802294</c:v>
                </c:pt>
                <c:pt idx="4">
                  <c:v>96768305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094C-4036-8520-D3169D157317}"/>
            </c:ext>
          </c:extLst>
        </c:ser>
        <c:ser>
          <c:idx val="1"/>
          <c:order val="1"/>
          <c:tx>
            <c:strRef>
              <c:f>'MANAGER ALPHA'!$C$4</c:f>
              <c:strCache>
                <c:ptCount val="1"/>
                <c:pt idx="0">
                  <c:v>RETURNS($)</c:v>
                </c:pt>
              </c:strCache>
            </c:strRef>
          </c:tx>
          <c:spPr>
            <a:solidFill>
              <a:srgbClr val="E67600"/>
            </a:solidFill>
            <a:ln>
              <a:prstDash val="solid"/>
            </a:ln>
          </c:spPr>
          <c:invertIfNegative val="1"/>
          <c:cat>
            <c:strRef>
              <c:f>'MANAGER ALPHA'!$A$5:$A$9</c:f>
              <c:strCache>
                <c:ptCount val="5"/>
                <c:pt idx="0">
                  <c:v>B.Axelrod</c:v>
                </c:pt>
                <c:pt idx="1">
                  <c:v>D.Bill</c:v>
                </c:pt>
                <c:pt idx="2">
                  <c:v>W.Wagner</c:v>
                </c:pt>
                <c:pt idx="3">
                  <c:v>B.Kim</c:v>
                </c:pt>
                <c:pt idx="4">
                  <c:v>T.Mason</c:v>
                </c:pt>
              </c:strCache>
            </c:strRef>
          </c:cat>
          <c:val>
            <c:numRef>
              <c:f>'MANAGER ALPHA'!$C$5:$C$9</c:f>
              <c:numCache>
                <c:formatCode>General</c:formatCode>
                <c:ptCount val="5"/>
                <c:pt idx="0">
                  <c:v>120034448</c:v>
                </c:pt>
                <c:pt idx="1">
                  <c:v>142908079</c:v>
                </c:pt>
                <c:pt idx="2">
                  <c:v>140661439</c:v>
                </c:pt>
                <c:pt idx="3">
                  <c:v>118511306</c:v>
                </c:pt>
                <c:pt idx="4">
                  <c:v>107206419</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094C-4036-8520-D3169D157317}"/>
            </c:ext>
          </c:extLst>
        </c:ser>
        <c:ser>
          <c:idx val="2"/>
          <c:order val="2"/>
          <c:tx>
            <c:strRef>
              <c:f>'MANAGER ALPHA'!$D$4</c:f>
              <c:strCache>
                <c:ptCount val="1"/>
                <c:pt idx="0">
                  <c:v>NET P&amp;L($)</c:v>
                </c:pt>
              </c:strCache>
            </c:strRef>
          </c:tx>
          <c:spPr>
            <a:solidFill>
              <a:srgbClr val="660000"/>
            </a:solidFill>
            <a:ln>
              <a:prstDash val="solid"/>
            </a:ln>
          </c:spPr>
          <c:invertIfNegative val="1"/>
          <c:cat>
            <c:strRef>
              <c:f>'MANAGER ALPHA'!$A$5:$A$9</c:f>
              <c:strCache>
                <c:ptCount val="5"/>
                <c:pt idx="0">
                  <c:v>B.Axelrod</c:v>
                </c:pt>
                <c:pt idx="1">
                  <c:v>D.Bill</c:v>
                </c:pt>
                <c:pt idx="2">
                  <c:v>W.Wagner</c:v>
                </c:pt>
                <c:pt idx="3">
                  <c:v>B.Kim</c:v>
                </c:pt>
                <c:pt idx="4">
                  <c:v>T.Mason</c:v>
                </c:pt>
              </c:strCache>
            </c:strRef>
          </c:cat>
          <c:val>
            <c:numRef>
              <c:f>'MANAGER ALPHA'!$D$5:$D$9</c:f>
              <c:numCache>
                <c:formatCode>General</c:formatCode>
                <c:ptCount val="5"/>
                <c:pt idx="0">
                  <c:v>20104354</c:v>
                </c:pt>
                <c:pt idx="1">
                  <c:v>19125318</c:v>
                </c:pt>
                <c:pt idx="2">
                  <c:v>13278020</c:v>
                </c:pt>
                <c:pt idx="3">
                  <c:v>12709012</c:v>
                </c:pt>
                <c:pt idx="4">
                  <c:v>10438114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094C-4036-8520-D3169D157317}"/>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tx>
            <c:strRef>
              <c:f>'SECTOR INTEL'!$B$4</c:f>
              <c:strCache>
                <c:ptCount val="1"/>
                <c:pt idx="0">
                  <c:v>CAPITAL($)</c:v>
                </c:pt>
              </c:strCache>
            </c:strRef>
          </c:tx>
          <c:spPr>
            <a:ln>
              <a:prstDash val="solid"/>
            </a:ln>
          </c:spPr>
          <c:cat>
            <c:strRef>
              <c:f>'SECTOR INTEL'!$A$5:$A$11</c:f>
              <c:strCache>
                <c:ptCount val="7"/>
                <c:pt idx="0">
                  <c:v>Technology</c:v>
                </c:pt>
                <c:pt idx="1">
                  <c:v>Healthcare</c:v>
                </c:pt>
                <c:pt idx="2">
                  <c:v>Financials</c:v>
                </c:pt>
                <c:pt idx="3">
                  <c:v>Industrials</c:v>
                </c:pt>
                <c:pt idx="4">
                  <c:v>Comm.</c:v>
                </c:pt>
                <c:pt idx="5">
                  <c:v>Energy</c:v>
                </c:pt>
                <c:pt idx="6">
                  <c:v>Cons. Disc.</c:v>
                </c:pt>
              </c:strCache>
            </c:strRef>
          </c:cat>
          <c:val>
            <c:numRef>
              <c:f>'SECTOR INTEL'!$B$5:$B$11</c:f>
              <c:numCache>
                <c:formatCode>General</c:formatCode>
                <c:ptCount val="7"/>
                <c:pt idx="0">
                  <c:v>192620633</c:v>
                </c:pt>
                <c:pt idx="1">
                  <c:v>80290834</c:v>
                </c:pt>
                <c:pt idx="2">
                  <c:v>117760007</c:v>
                </c:pt>
                <c:pt idx="3">
                  <c:v>57215035</c:v>
                </c:pt>
                <c:pt idx="4">
                  <c:v>42329037</c:v>
                </c:pt>
                <c:pt idx="5">
                  <c:v>34547615</c:v>
                </c:pt>
                <c:pt idx="6">
                  <c:v>28903710</c:v>
                </c:pt>
              </c:numCache>
            </c:numRef>
          </c:val>
          <c:extLst>
            <c:ext xmlns:c16="http://schemas.microsoft.com/office/drawing/2014/chart" uri="{C3380CC4-5D6E-409C-BE32-E72D297353CC}">
              <c16:uniqueId val="{00000000-DD1E-4757-AFE5-6CE6976D8292}"/>
            </c:ext>
          </c:extLst>
        </c:ser>
        <c:dLbls>
          <c:showLegendKey val="0"/>
          <c:showVal val="0"/>
          <c:showCatName val="0"/>
          <c:showSerName val="0"/>
          <c:showPercent val="0"/>
          <c:showBubbleSize val="0"/>
          <c:showLeaderLines val="1"/>
        </c:dLbls>
        <c:firstSliceAng val="0"/>
        <c:holeSize val="55"/>
      </c:doughnutChart>
    </c:plotArea>
    <c:legend>
      <c:legendPos val="r"/>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strRef>
              <c:f>'SECTOR INTEL'!$B$4</c:f>
              <c:strCache>
                <c:ptCount val="1"/>
                <c:pt idx="0">
                  <c:v>CAPITAL($)</c:v>
                </c:pt>
              </c:strCache>
            </c:strRef>
          </c:tx>
          <c:spPr>
            <a:solidFill>
              <a:srgbClr val="B30000"/>
            </a:solidFill>
            <a:ln>
              <a:prstDash val="solid"/>
            </a:ln>
          </c:spPr>
          <c:invertIfNegative val="1"/>
          <c:cat>
            <c:strRef>
              <c:f>'SECTOR INTEL'!$A$5:$A$11</c:f>
              <c:strCache>
                <c:ptCount val="7"/>
                <c:pt idx="0">
                  <c:v>Technology</c:v>
                </c:pt>
                <c:pt idx="1">
                  <c:v>Healthcare</c:v>
                </c:pt>
                <c:pt idx="2">
                  <c:v>Financials</c:v>
                </c:pt>
                <c:pt idx="3">
                  <c:v>Industrials</c:v>
                </c:pt>
                <c:pt idx="4">
                  <c:v>Comm.</c:v>
                </c:pt>
                <c:pt idx="5">
                  <c:v>Energy</c:v>
                </c:pt>
                <c:pt idx="6">
                  <c:v>Cons. Disc.</c:v>
                </c:pt>
              </c:strCache>
            </c:strRef>
          </c:cat>
          <c:val>
            <c:numRef>
              <c:f>'SECTOR INTEL'!$B$5:$B$11</c:f>
              <c:numCache>
                <c:formatCode>General</c:formatCode>
                <c:ptCount val="7"/>
                <c:pt idx="0">
                  <c:v>192620633</c:v>
                </c:pt>
                <c:pt idx="1">
                  <c:v>80290834</c:v>
                </c:pt>
                <c:pt idx="2">
                  <c:v>117760007</c:v>
                </c:pt>
                <c:pt idx="3">
                  <c:v>57215035</c:v>
                </c:pt>
                <c:pt idx="4">
                  <c:v>42329037</c:v>
                </c:pt>
                <c:pt idx="5">
                  <c:v>34547615</c:v>
                </c:pt>
                <c:pt idx="6">
                  <c:v>28903710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38B-4C76-8AF0-FF89C6479DB9}"/>
            </c:ext>
          </c:extLst>
        </c:ser>
        <c:ser>
          <c:idx val="1"/>
          <c:order val="1"/>
          <c:tx>
            <c:strRef>
              <c:f>'SECTOR INTEL'!$D$4</c:f>
              <c:strCache>
                <c:ptCount val="1"/>
                <c:pt idx="0">
                  <c:v>NET P&amp;L($)</c:v>
                </c:pt>
              </c:strCache>
            </c:strRef>
          </c:tx>
          <c:spPr>
            <a:solidFill>
              <a:srgbClr val="E67600"/>
            </a:solidFill>
            <a:ln>
              <a:prstDash val="solid"/>
            </a:ln>
          </c:spPr>
          <c:invertIfNegative val="1"/>
          <c:cat>
            <c:strRef>
              <c:f>'SECTOR INTEL'!$A$5:$A$11</c:f>
              <c:strCache>
                <c:ptCount val="7"/>
                <c:pt idx="0">
                  <c:v>Technology</c:v>
                </c:pt>
                <c:pt idx="1">
                  <c:v>Healthcare</c:v>
                </c:pt>
                <c:pt idx="2">
                  <c:v>Financials</c:v>
                </c:pt>
                <c:pt idx="3">
                  <c:v>Industrials</c:v>
                </c:pt>
                <c:pt idx="4">
                  <c:v>Comm.</c:v>
                </c:pt>
                <c:pt idx="5">
                  <c:v>Energy</c:v>
                </c:pt>
                <c:pt idx="6">
                  <c:v>Cons. Disc.</c:v>
                </c:pt>
              </c:strCache>
            </c:strRef>
          </c:cat>
          <c:val>
            <c:numRef>
              <c:f>'SECTOR INTEL'!$D$5:$D$11</c:f>
              <c:numCache>
                <c:formatCode>General</c:formatCode>
                <c:ptCount val="7"/>
                <c:pt idx="0">
                  <c:v>23863789</c:v>
                </c:pt>
                <c:pt idx="1">
                  <c:v>15991754</c:v>
                </c:pt>
                <c:pt idx="2">
                  <c:v>12736783</c:v>
                </c:pt>
                <c:pt idx="3">
                  <c:v>8450710</c:v>
                </c:pt>
                <c:pt idx="4">
                  <c:v>7109220</c:v>
                </c:pt>
                <c:pt idx="5">
                  <c:v>4544736</c:v>
                </c:pt>
                <c:pt idx="6">
                  <c:v>2957826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E38B-4C76-8AF0-FF89C6479DB9}"/>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[AXE Bloomberg Terminal.xlsx]PIVOT ANALYSIS!PivotTable1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Manager P&amp;L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ANALYSIS'!$A$2:$A$7</c:f>
              <c:strCache>
                <c:ptCount val="5"/>
                <c:pt idx="0">
                  <c:v>B.Axelrod</c:v>
                </c:pt>
                <c:pt idx="1">
                  <c:v>B.Kim</c:v>
                </c:pt>
                <c:pt idx="2">
                  <c:v>D.Bill</c:v>
                </c:pt>
                <c:pt idx="3">
                  <c:v>T.Mason</c:v>
                </c:pt>
                <c:pt idx="4">
                  <c:v>W.Wagner</c:v>
                </c:pt>
              </c:strCache>
            </c:strRef>
          </c:cat>
          <c:val>
            <c:numRef>
              <c:f>'PIVOT ANALYSIS'!$B$2:$B$7</c:f>
              <c:numCache>
                <c:formatCode>General</c:formatCode>
                <c:ptCount val="5"/>
                <c:pt idx="0">
                  <c:v>20104354.269999992</c:v>
                </c:pt>
                <c:pt idx="1">
                  <c:v>12709012.040000005</c:v>
                </c:pt>
                <c:pt idx="2">
                  <c:v>19125317.770000003</c:v>
                </c:pt>
                <c:pt idx="3">
                  <c:v>10438113.619999995</c:v>
                </c:pt>
                <c:pt idx="4">
                  <c:v>13278020.359999996</c:v>
                </c:pt>
              </c:numCache>
            </c:numRef>
          </c:val>
          <c:extLst>
            <c:ext xmlns:c16="http://schemas.microsoft.com/office/drawing/2014/chart" uri="{C3380CC4-5D6E-409C-BE32-E72D297353CC}">
              <c16:uniqueId val="{00000000-F17E-4CA3-9F40-FCF02C4908FB}"/>
            </c:ext>
          </c:extLst>
        </c:ser>
        <c:dLbls>
          <c:showLegendKey val="0"/>
          <c:showVal val="0"/>
          <c:showCatName val="0"/>
          <c:showSerName val="0"/>
          <c:showPercent val="0"/>
          <c:showBubbleSize val="0"/>
        </c:dLbls>
        <c:gapWidth val="115"/>
        <c:overlap val="-20"/>
        <c:axId val="1024282207"/>
        <c:axId val="1024272127"/>
      </c:barChart>
      <c:catAx>
        <c:axId val="10242822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4272127"/>
        <c:crosses val="autoZero"/>
        <c:auto val="1"/>
        <c:lblAlgn val="ctr"/>
        <c:lblOffset val="100"/>
        <c:noMultiLvlLbl val="0"/>
      </c:catAx>
      <c:valAx>
        <c:axId val="102427212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4282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[AXE Bloomberg Terminal.xlsx]PIVOT ANALYSIS!PivotTable2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Sector P&amp;L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ANALYSIS'!$B$10</c:f>
              <c:strCache>
                <c:ptCount val="1"/>
                <c:pt idx="0">
                  <c:v>Sum of P&amp;L($)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'PIVOT ANALYSIS'!$A$11:$A$18</c:f>
              <c:strCache>
                <c:ptCount val="7"/>
                <c:pt idx="0">
                  <c:v>Comm.</c:v>
                </c:pt>
                <c:pt idx="1">
                  <c:v>Cons. Disc.</c:v>
                </c:pt>
                <c:pt idx="2">
                  <c:v>Energy</c:v>
                </c:pt>
                <c:pt idx="3">
                  <c:v>Financials</c:v>
                </c:pt>
                <c:pt idx="4">
                  <c:v>Healthcare</c:v>
                </c:pt>
                <c:pt idx="5">
                  <c:v>Industrials</c:v>
                </c:pt>
                <c:pt idx="6">
                  <c:v>Technology</c:v>
                </c:pt>
              </c:strCache>
            </c:strRef>
          </c:cat>
          <c:val>
            <c:numRef>
              <c:f>'PIVOT ANALYSIS'!$B$11:$B$18</c:f>
              <c:numCache>
                <c:formatCode>General</c:formatCode>
                <c:ptCount val="7"/>
                <c:pt idx="0">
                  <c:v>7109220.0699999994</c:v>
                </c:pt>
                <c:pt idx="1">
                  <c:v>2957826.3299999991</c:v>
                </c:pt>
                <c:pt idx="2">
                  <c:v>4544735.6599999974</c:v>
                </c:pt>
                <c:pt idx="3">
                  <c:v>12736782.919999996</c:v>
                </c:pt>
                <c:pt idx="4">
                  <c:v>15991754.060000001</c:v>
                </c:pt>
                <c:pt idx="5">
                  <c:v>8450710.1600000001</c:v>
                </c:pt>
                <c:pt idx="6">
                  <c:v>23863788.859999996</c:v>
                </c:pt>
              </c:numCache>
            </c:numRef>
          </c:val>
          <c:extLst>
            <c:ext xmlns:c16="http://schemas.microsoft.com/office/drawing/2014/chart" uri="{C3380CC4-5D6E-409C-BE32-E72D297353CC}">
              <c16:uniqueId val="{00000000-DB5C-4ED8-85FD-6AB873399840}"/>
            </c:ext>
          </c:extLst>
        </c:ser>
        <c:ser>
          <c:idx val="1"/>
          <c:order val="1"/>
          <c:tx>
            <c:strRef>
              <c:f>'PIVOT ANALYSIS'!$C$10</c:f>
              <c:strCache>
                <c:ptCount val="1"/>
                <c:pt idx="0">
                  <c:v>Count of TRADE ID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'PIVOT ANALYSIS'!$A$11:$A$18</c:f>
              <c:strCache>
                <c:ptCount val="7"/>
                <c:pt idx="0">
                  <c:v>Comm.</c:v>
                </c:pt>
                <c:pt idx="1">
                  <c:v>Cons. Disc.</c:v>
                </c:pt>
                <c:pt idx="2">
                  <c:v>Energy</c:v>
                </c:pt>
                <c:pt idx="3">
                  <c:v>Financials</c:v>
                </c:pt>
                <c:pt idx="4">
                  <c:v>Healthcare</c:v>
                </c:pt>
                <c:pt idx="5">
                  <c:v>Industrials</c:v>
                </c:pt>
                <c:pt idx="6">
                  <c:v>Technology</c:v>
                </c:pt>
              </c:strCache>
            </c:strRef>
          </c:cat>
          <c:val>
            <c:numRef>
              <c:f>'PIVOT ANALYSIS'!$C$11:$C$18</c:f>
              <c:numCache>
                <c:formatCode>General</c:formatCode>
                <c:ptCount val="7"/>
                <c:pt idx="0">
                  <c:v>37</c:v>
                </c:pt>
                <c:pt idx="1">
                  <c:v>64</c:v>
                </c:pt>
                <c:pt idx="2">
                  <c:v>113</c:v>
                </c:pt>
                <c:pt idx="3">
                  <c:v>148</c:v>
                </c:pt>
                <c:pt idx="4">
                  <c:v>129</c:v>
                </c:pt>
                <c:pt idx="5">
                  <c:v>90</c:v>
                </c:pt>
                <c:pt idx="6">
                  <c:v>219</c:v>
                </c:pt>
              </c:numCache>
            </c:numRef>
          </c:val>
          <c:extLst>
            <c:ext xmlns:c16="http://schemas.microsoft.com/office/drawing/2014/chart" uri="{C3380CC4-5D6E-409C-BE32-E72D297353CC}">
              <c16:uniqueId val="{00000001-DB5C-4ED8-85FD-6AB873399840}"/>
            </c:ext>
          </c:extLst>
        </c:ser>
        <c:ser>
          <c:idx val="2"/>
          <c:order val="2"/>
          <c:tx>
            <c:strRef>
              <c:f>'PIVOT ANALYSIS'!$D$10</c:f>
              <c:strCache>
                <c:ptCount val="1"/>
                <c:pt idx="0">
                  <c:v>Average of P&amp;L%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'PIVOT ANALYSIS'!$A$11:$A$18</c:f>
              <c:strCache>
                <c:ptCount val="7"/>
                <c:pt idx="0">
                  <c:v>Comm.</c:v>
                </c:pt>
                <c:pt idx="1">
                  <c:v>Cons. Disc.</c:v>
                </c:pt>
                <c:pt idx="2">
                  <c:v>Energy</c:v>
                </c:pt>
                <c:pt idx="3">
                  <c:v>Financials</c:v>
                </c:pt>
                <c:pt idx="4">
                  <c:v>Healthcare</c:v>
                </c:pt>
                <c:pt idx="5">
                  <c:v>Industrials</c:v>
                </c:pt>
                <c:pt idx="6">
                  <c:v>Technology</c:v>
                </c:pt>
              </c:strCache>
            </c:strRef>
          </c:cat>
          <c:val>
            <c:numRef>
              <c:f>'PIVOT ANALYSIS'!$D$11:$D$18</c:f>
              <c:numCache>
                <c:formatCode>General</c:formatCode>
                <c:ptCount val="7"/>
                <c:pt idx="0">
                  <c:v>16.070270270270267</c:v>
                </c:pt>
                <c:pt idx="1">
                  <c:v>11.450937499999998</c:v>
                </c:pt>
                <c:pt idx="2">
                  <c:v>13.469646017699121</c:v>
                </c:pt>
                <c:pt idx="3">
                  <c:v>11.34641891891892</c:v>
                </c:pt>
                <c:pt idx="4">
                  <c:v>15.556124031007757</c:v>
                </c:pt>
                <c:pt idx="5">
                  <c:v>15.009000000000004</c:v>
                </c:pt>
                <c:pt idx="6">
                  <c:v>13.879132420091317</c:v>
                </c:pt>
              </c:numCache>
            </c:numRef>
          </c:val>
          <c:extLst>
            <c:ext xmlns:c16="http://schemas.microsoft.com/office/drawing/2014/chart" uri="{C3380CC4-5D6E-409C-BE32-E72D297353CC}">
              <c16:uniqueId val="{00000002-DB5C-4ED8-85FD-6AB873399840}"/>
            </c:ext>
          </c:extLst>
        </c:ser>
        <c:ser>
          <c:idx val="3"/>
          <c:order val="3"/>
          <c:tx>
            <c:strRef>
              <c:f>'PIVOT ANALYSIS'!$E$10</c:f>
              <c:strCache>
                <c:ptCount val="1"/>
                <c:pt idx="0">
                  <c:v>Sum of CAPITAL($)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'PIVOT ANALYSIS'!$A$11:$A$18</c:f>
              <c:strCache>
                <c:ptCount val="7"/>
                <c:pt idx="0">
                  <c:v>Comm.</c:v>
                </c:pt>
                <c:pt idx="1">
                  <c:v>Cons. Disc.</c:v>
                </c:pt>
                <c:pt idx="2">
                  <c:v>Energy</c:v>
                </c:pt>
                <c:pt idx="3">
                  <c:v>Financials</c:v>
                </c:pt>
                <c:pt idx="4">
                  <c:v>Healthcare</c:v>
                </c:pt>
                <c:pt idx="5">
                  <c:v>Industrials</c:v>
                </c:pt>
                <c:pt idx="6">
                  <c:v>Technology</c:v>
                </c:pt>
              </c:strCache>
            </c:strRef>
          </c:cat>
          <c:val>
            <c:numRef>
              <c:f>'PIVOT ANALYSIS'!$E$11:$E$18</c:f>
              <c:numCache>
                <c:formatCode>General</c:formatCode>
                <c:ptCount val="7"/>
                <c:pt idx="0">
                  <c:v>42329037.280000001</c:v>
                </c:pt>
                <c:pt idx="1">
                  <c:v>28903710.369999994</c:v>
                </c:pt>
                <c:pt idx="2">
                  <c:v>34547615.049999982</c:v>
                </c:pt>
                <c:pt idx="3">
                  <c:v>117760007.34</c:v>
                </c:pt>
                <c:pt idx="4">
                  <c:v>80290834.449999943</c:v>
                </c:pt>
                <c:pt idx="5">
                  <c:v>57215035.269999996</c:v>
                </c:pt>
                <c:pt idx="6">
                  <c:v>192620633.40999994</c:v>
                </c:pt>
              </c:numCache>
            </c:numRef>
          </c:val>
          <c:extLst>
            <c:ext xmlns:c16="http://schemas.microsoft.com/office/drawing/2014/chart" uri="{C3380CC4-5D6E-409C-BE32-E72D297353CC}">
              <c16:uniqueId val="{00000003-DB5C-4ED8-85FD-6AB87339984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[AXE Bloomberg Terminal.xlsx]PIVOT ANALYSIS!PivotTable3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ANALYSIS'!$B$21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ANALYSIS'!$A$22:$A$26</c:f>
              <c:strCache>
                <c:ptCount val="4"/>
                <c:pt idx="0">
                  <c:v>Arb</c:v>
                </c:pt>
                <c:pt idx="1">
                  <c:v>Long</c:v>
                </c:pt>
                <c:pt idx="2">
                  <c:v>Merger Arb</c:v>
                </c:pt>
                <c:pt idx="3">
                  <c:v>Short</c:v>
                </c:pt>
              </c:strCache>
            </c:strRef>
          </c:cat>
          <c:val>
            <c:numRef>
              <c:f>'PIVOT ANALYSIS'!$B$22:$B$26</c:f>
              <c:numCache>
                <c:formatCode>General</c:formatCode>
                <c:ptCount val="4"/>
                <c:pt idx="0">
                  <c:v>18494358.629999999</c:v>
                </c:pt>
                <c:pt idx="1">
                  <c:v>63246952.650000021</c:v>
                </c:pt>
                <c:pt idx="2">
                  <c:v>15598827.960000001</c:v>
                </c:pt>
                <c:pt idx="3">
                  <c:v>-21685321.179999992</c:v>
                </c:pt>
              </c:numCache>
            </c:numRef>
          </c:val>
          <c:extLst>
            <c:ext xmlns:c16="http://schemas.microsoft.com/office/drawing/2014/chart" uri="{C3380CC4-5D6E-409C-BE32-E72D297353CC}">
              <c16:uniqueId val="{00000000-8F0A-4D78-ABF8-878730FDA25B}"/>
            </c:ext>
          </c:extLst>
        </c:ser>
        <c:dLbls>
          <c:showLegendKey val="0"/>
          <c:showVal val="0"/>
          <c:showCatName val="0"/>
          <c:showSerName val="0"/>
          <c:showPercent val="0"/>
          <c:showBubbleSize val="0"/>
        </c:dLbls>
        <c:gapWidth val="115"/>
        <c:overlap val="-20"/>
        <c:axId val="1250888623"/>
        <c:axId val="1250878543"/>
      </c:barChart>
      <c:catAx>
        <c:axId val="12508886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0878543"/>
        <c:crosses val="autoZero"/>
        <c:auto val="1"/>
        <c:lblAlgn val="ctr"/>
        <c:lblOffset val="100"/>
        <c:noMultiLvlLbl val="0"/>
      </c:catAx>
      <c:valAx>
        <c:axId val="12508785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088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[AXE Bloomberg Terminal.xlsx]PIVOT ANALYSIS!PivotTable1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Manager P&amp;L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ANALYSIS'!$A$2:$A$7</c:f>
              <c:strCache>
                <c:ptCount val="5"/>
                <c:pt idx="0">
                  <c:v>B.Axelrod</c:v>
                </c:pt>
                <c:pt idx="1">
                  <c:v>B.Kim</c:v>
                </c:pt>
                <c:pt idx="2">
                  <c:v>D.Bill</c:v>
                </c:pt>
                <c:pt idx="3">
                  <c:v>T.Mason</c:v>
                </c:pt>
                <c:pt idx="4">
                  <c:v>W.Wagner</c:v>
                </c:pt>
              </c:strCache>
            </c:strRef>
          </c:cat>
          <c:val>
            <c:numRef>
              <c:f>'PIVOT ANALYSIS'!$B$2:$B$7</c:f>
              <c:numCache>
                <c:formatCode>General</c:formatCode>
                <c:ptCount val="5"/>
                <c:pt idx="0">
                  <c:v>20104354.269999992</c:v>
                </c:pt>
                <c:pt idx="1">
                  <c:v>12709012.040000005</c:v>
                </c:pt>
                <c:pt idx="2">
                  <c:v>19125317.770000003</c:v>
                </c:pt>
                <c:pt idx="3">
                  <c:v>10438113.619999995</c:v>
                </c:pt>
                <c:pt idx="4">
                  <c:v>13278020.359999996</c:v>
                </c:pt>
              </c:numCache>
            </c:numRef>
          </c:val>
          <c:extLst>
            <c:ext xmlns:c16="http://schemas.microsoft.com/office/drawing/2014/chart" uri="{C3380CC4-5D6E-409C-BE32-E72D297353CC}">
              <c16:uniqueId val="{00000000-68C5-4C92-AA36-8D056BA369D5}"/>
            </c:ext>
          </c:extLst>
        </c:ser>
        <c:dLbls>
          <c:showLegendKey val="0"/>
          <c:showVal val="0"/>
          <c:showCatName val="0"/>
          <c:showSerName val="0"/>
          <c:showPercent val="0"/>
          <c:showBubbleSize val="0"/>
        </c:dLbls>
        <c:gapWidth val="115"/>
        <c:overlap val="-20"/>
        <c:axId val="1024282207"/>
        <c:axId val="1024272127"/>
      </c:barChart>
      <c:catAx>
        <c:axId val="10242822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4272127"/>
        <c:crosses val="autoZero"/>
        <c:auto val="1"/>
        <c:lblAlgn val="ctr"/>
        <c:lblOffset val="100"/>
        <c:noMultiLvlLbl val="0"/>
      </c:catAx>
      <c:valAx>
        <c:axId val="102427212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4282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[AXE Bloomberg Terminal.xlsx]PIVOT ANALYSIS!PivotTable2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Sector P&amp;L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ANALYSIS'!$B$10</c:f>
              <c:strCache>
                <c:ptCount val="1"/>
                <c:pt idx="0">
                  <c:v>Sum of P&amp;L($)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060-4307-A427-AB375D5EB64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060-4307-A427-AB375D5EB64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060-4307-A427-AB375D5EB64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060-4307-A427-AB375D5EB64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060-4307-A427-AB375D5EB64F}"/>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D060-4307-A427-AB375D5EB64F}"/>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D060-4307-A427-AB375D5EB64F}"/>
              </c:ext>
            </c:extLst>
          </c:dPt>
          <c:cat>
            <c:strRef>
              <c:f>'PIVOT ANALYSIS'!$A$11:$A$18</c:f>
              <c:strCache>
                <c:ptCount val="7"/>
                <c:pt idx="0">
                  <c:v>Comm.</c:v>
                </c:pt>
                <c:pt idx="1">
                  <c:v>Cons. Disc.</c:v>
                </c:pt>
                <c:pt idx="2">
                  <c:v>Energy</c:v>
                </c:pt>
                <c:pt idx="3">
                  <c:v>Financials</c:v>
                </c:pt>
                <c:pt idx="4">
                  <c:v>Healthcare</c:v>
                </c:pt>
                <c:pt idx="5">
                  <c:v>Industrials</c:v>
                </c:pt>
                <c:pt idx="6">
                  <c:v>Technology</c:v>
                </c:pt>
              </c:strCache>
            </c:strRef>
          </c:cat>
          <c:val>
            <c:numRef>
              <c:f>'PIVOT ANALYSIS'!$B$11:$B$18</c:f>
              <c:numCache>
                <c:formatCode>General</c:formatCode>
                <c:ptCount val="7"/>
                <c:pt idx="0">
                  <c:v>7109220.0699999994</c:v>
                </c:pt>
                <c:pt idx="1">
                  <c:v>2957826.3299999991</c:v>
                </c:pt>
                <c:pt idx="2">
                  <c:v>4544735.6599999974</c:v>
                </c:pt>
                <c:pt idx="3">
                  <c:v>12736782.919999996</c:v>
                </c:pt>
                <c:pt idx="4">
                  <c:v>15991754.060000001</c:v>
                </c:pt>
                <c:pt idx="5">
                  <c:v>8450710.1600000001</c:v>
                </c:pt>
                <c:pt idx="6">
                  <c:v>23863788.859999996</c:v>
                </c:pt>
              </c:numCache>
            </c:numRef>
          </c:val>
          <c:extLst>
            <c:ext xmlns:c16="http://schemas.microsoft.com/office/drawing/2014/chart" uri="{C3380CC4-5D6E-409C-BE32-E72D297353CC}">
              <c16:uniqueId val="{0000000E-D060-4307-A427-AB375D5EB64F}"/>
            </c:ext>
          </c:extLst>
        </c:ser>
        <c:ser>
          <c:idx val="1"/>
          <c:order val="1"/>
          <c:tx>
            <c:strRef>
              <c:f>'PIVOT ANALYSIS'!$C$10</c:f>
              <c:strCache>
                <c:ptCount val="1"/>
                <c:pt idx="0">
                  <c:v>Count of TRADE ID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D060-4307-A427-AB375D5EB64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D060-4307-A427-AB375D5EB64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D060-4307-A427-AB375D5EB64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6-D060-4307-A427-AB375D5EB64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8-D060-4307-A427-AB375D5EB64F}"/>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A-D060-4307-A427-AB375D5EB64F}"/>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C-D060-4307-A427-AB375D5EB64F}"/>
              </c:ext>
            </c:extLst>
          </c:dPt>
          <c:cat>
            <c:strRef>
              <c:f>'PIVOT ANALYSIS'!$A$11:$A$18</c:f>
              <c:strCache>
                <c:ptCount val="7"/>
                <c:pt idx="0">
                  <c:v>Comm.</c:v>
                </c:pt>
                <c:pt idx="1">
                  <c:v>Cons. Disc.</c:v>
                </c:pt>
                <c:pt idx="2">
                  <c:v>Energy</c:v>
                </c:pt>
                <c:pt idx="3">
                  <c:v>Financials</c:v>
                </c:pt>
                <c:pt idx="4">
                  <c:v>Healthcare</c:v>
                </c:pt>
                <c:pt idx="5">
                  <c:v>Industrials</c:v>
                </c:pt>
                <c:pt idx="6">
                  <c:v>Technology</c:v>
                </c:pt>
              </c:strCache>
            </c:strRef>
          </c:cat>
          <c:val>
            <c:numRef>
              <c:f>'PIVOT ANALYSIS'!$C$11:$C$18</c:f>
              <c:numCache>
                <c:formatCode>General</c:formatCode>
                <c:ptCount val="7"/>
                <c:pt idx="0">
                  <c:v>37</c:v>
                </c:pt>
                <c:pt idx="1">
                  <c:v>64</c:v>
                </c:pt>
                <c:pt idx="2">
                  <c:v>113</c:v>
                </c:pt>
                <c:pt idx="3">
                  <c:v>148</c:v>
                </c:pt>
                <c:pt idx="4">
                  <c:v>129</c:v>
                </c:pt>
                <c:pt idx="5">
                  <c:v>90</c:v>
                </c:pt>
                <c:pt idx="6">
                  <c:v>219</c:v>
                </c:pt>
              </c:numCache>
            </c:numRef>
          </c:val>
          <c:extLst>
            <c:ext xmlns:c16="http://schemas.microsoft.com/office/drawing/2014/chart" uri="{C3380CC4-5D6E-409C-BE32-E72D297353CC}">
              <c16:uniqueId val="{0000001D-D060-4307-A427-AB375D5EB64F}"/>
            </c:ext>
          </c:extLst>
        </c:ser>
        <c:ser>
          <c:idx val="2"/>
          <c:order val="2"/>
          <c:tx>
            <c:strRef>
              <c:f>'PIVOT ANALYSIS'!$D$10</c:f>
              <c:strCache>
                <c:ptCount val="1"/>
                <c:pt idx="0">
                  <c:v>Average of P&amp;L%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D060-4307-A427-AB375D5EB64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D060-4307-A427-AB375D5EB64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D060-4307-A427-AB375D5EB64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D060-4307-A427-AB375D5EB64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D060-4307-A427-AB375D5EB64F}"/>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9-D060-4307-A427-AB375D5EB64F}"/>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B-D060-4307-A427-AB375D5EB64F}"/>
              </c:ext>
            </c:extLst>
          </c:dPt>
          <c:cat>
            <c:strRef>
              <c:f>'PIVOT ANALYSIS'!$A$11:$A$18</c:f>
              <c:strCache>
                <c:ptCount val="7"/>
                <c:pt idx="0">
                  <c:v>Comm.</c:v>
                </c:pt>
                <c:pt idx="1">
                  <c:v>Cons. Disc.</c:v>
                </c:pt>
                <c:pt idx="2">
                  <c:v>Energy</c:v>
                </c:pt>
                <c:pt idx="3">
                  <c:v>Financials</c:v>
                </c:pt>
                <c:pt idx="4">
                  <c:v>Healthcare</c:v>
                </c:pt>
                <c:pt idx="5">
                  <c:v>Industrials</c:v>
                </c:pt>
                <c:pt idx="6">
                  <c:v>Technology</c:v>
                </c:pt>
              </c:strCache>
            </c:strRef>
          </c:cat>
          <c:val>
            <c:numRef>
              <c:f>'PIVOT ANALYSIS'!$D$11:$D$18</c:f>
              <c:numCache>
                <c:formatCode>General</c:formatCode>
                <c:ptCount val="7"/>
                <c:pt idx="0">
                  <c:v>16.070270270270267</c:v>
                </c:pt>
                <c:pt idx="1">
                  <c:v>11.450937499999998</c:v>
                </c:pt>
                <c:pt idx="2">
                  <c:v>13.469646017699121</c:v>
                </c:pt>
                <c:pt idx="3">
                  <c:v>11.34641891891892</c:v>
                </c:pt>
                <c:pt idx="4">
                  <c:v>15.556124031007757</c:v>
                </c:pt>
                <c:pt idx="5">
                  <c:v>15.009000000000004</c:v>
                </c:pt>
                <c:pt idx="6">
                  <c:v>13.879132420091317</c:v>
                </c:pt>
              </c:numCache>
            </c:numRef>
          </c:val>
          <c:extLst>
            <c:ext xmlns:c16="http://schemas.microsoft.com/office/drawing/2014/chart" uri="{C3380CC4-5D6E-409C-BE32-E72D297353CC}">
              <c16:uniqueId val="{0000002C-D060-4307-A427-AB375D5EB64F}"/>
            </c:ext>
          </c:extLst>
        </c:ser>
        <c:ser>
          <c:idx val="3"/>
          <c:order val="3"/>
          <c:tx>
            <c:strRef>
              <c:f>'PIVOT ANALYSIS'!$E$10</c:f>
              <c:strCache>
                <c:ptCount val="1"/>
                <c:pt idx="0">
                  <c:v>Sum of CAPITAL($)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E-D060-4307-A427-AB375D5EB64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0-D060-4307-A427-AB375D5EB64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2-D060-4307-A427-AB375D5EB64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4-D060-4307-A427-AB375D5EB64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6-D060-4307-A427-AB375D5EB64F}"/>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8-D060-4307-A427-AB375D5EB64F}"/>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A-D060-4307-A427-AB375D5EB64F}"/>
              </c:ext>
            </c:extLst>
          </c:dPt>
          <c:cat>
            <c:strRef>
              <c:f>'PIVOT ANALYSIS'!$A$11:$A$18</c:f>
              <c:strCache>
                <c:ptCount val="7"/>
                <c:pt idx="0">
                  <c:v>Comm.</c:v>
                </c:pt>
                <c:pt idx="1">
                  <c:v>Cons. Disc.</c:v>
                </c:pt>
                <c:pt idx="2">
                  <c:v>Energy</c:v>
                </c:pt>
                <c:pt idx="3">
                  <c:v>Financials</c:v>
                </c:pt>
                <c:pt idx="4">
                  <c:v>Healthcare</c:v>
                </c:pt>
                <c:pt idx="5">
                  <c:v>Industrials</c:v>
                </c:pt>
                <c:pt idx="6">
                  <c:v>Technology</c:v>
                </c:pt>
              </c:strCache>
            </c:strRef>
          </c:cat>
          <c:val>
            <c:numRef>
              <c:f>'PIVOT ANALYSIS'!$E$11:$E$18</c:f>
              <c:numCache>
                <c:formatCode>General</c:formatCode>
                <c:ptCount val="7"/>
                <c:pt idx="0">
                  <c:v>42329037.280000001</c:v>
                </c:pt>
                <c:pt idx="1">
                  <c:v>28903710.369999994</c:v>
                </c:pt>
                <c:pt idx="2">
                  <c:v>34547615.049999982</c:v>
                </c:pt>
                <c:pt idx="3">
                  <c:v>117760007.34</c:v>
                </c:pt>
                <c:pt idx="4">
                  <c:v>80290834.449999943</c:v>
                </c:pt>
                <c:pt idx="5">
                  <c:v>57215035.269999996</c:v>
                </c:pt>
                <c:pt idx="6">
                  <c:v>192620633.40999994</c:v>
                </c:pt>
              </c:numCache>
            </c:numRef>
          </c:val>
          <c:extLst>
            <c:ext xmlns:c16="http://schemas.microsoft.com/office/drawing/2014/chart" uri="{C3380CC4-5D6E-409C-BE32-E72D297353CC}">
              <c16:uniqueId val="{0000003B-D060-4307-A427-AB375D5EB64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[AXE Bloomberg Terminal.xlsx]PIVOT ANALYSIS!PivotTable3</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ANALYSIS'!$B$21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ANALYSIS'!$A$22:$A$26</c:f>
              <c:strCache>
                <c:ptCount val="4"/>
                <c:pt idx="0">
                  <c:v>Arb</c:v>
                </c:pt>
                <c:pt idx="1">
                  <c:v>Long</c:v>
                </c:pt>
                <c:pt idx="2">
                  <c:v>Merger Arb</c:v>
                </c:pt>
                <c:pt idx="3">
                  <c:v>Short</c:v>
                </c:pt>
              </c:strCache>
            </c:strRef>
          </c:cat>
          <c:val>
            <c:numRef>
              <c:f>'PIVOT ANALYSIS'!$B$22:$B$26</c:f>
              <c:numCache>
                <c:formatCode>General</c:formatCode>
                <c:ptCount val="4"/>
                <c:pt idx="0">
                  <c:v>18494358.629999999</c:v>
                </c:pt>
                <c:pt idx="1">
                  <c:v>63246952.650000021</c:v>
                </c:pt>
                <c:pt idx="2">
                  <c:v>15598827.960000001</c:v>
                </c:pt>
                <c:pt idx="3">
                  <c:v>-21685321.179999992</c:v>
                </c:pt>
              </c:numCache>
            </c:numRef>
          </c:val>
          <c:extLst>
            <c:ext xmlns:c16="http://schemas.microsoft.com/office/drawing/2014/chart" uri="{C3380CC4-5D6E-409C-BE32-E72D297353CC}">
              <c16:uniqueId val="{00000000-7B08-4F18-8B01-C6E724452C43}"/>
            </c:ext>
          </c:extLst>
        </c:ser>
        <c:dLbls>
          <c:showLegendKey val="0"/>
          <c:showVal val="0"/>
          <c:showCatName val="0"/>
          <c:showSerName val="0"/>
          <c:showPercent val="0"/>
          <c:showBubbleSize val="0"/>
        </c:dLbls>
        <c:gapWidth val="115"/>
        <c:overlap val="-20"/>
        <c:axId val="1250888623"/>
        <c:axId val="1250878543"/>
      </c:barChart>
      <c:catAx>
        <c:axId val="12508886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0878543"/>
        <c:crosses val="autoZero"/>
        <c:auto val="1"/>
        <c:lblAlgn val="ctr"/>
        <c:lblOffset val="100"/>
        <c:noMultiLvlLbl val="0"/>
      </c:catAx>
      <c:valAx>
        <c:axId val="12508785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088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9</xdr:col>
      <xdr:colOff>0</xdr:colOff>
      <xdr:row>11</xdr:row>
      <xdr:rowOff>0</xdr:rowOff>
    </xdr:from>
    <xdr:ext cx="7920000" cy="432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27</xdr:col>
      <xdr:colOff>0</xdr:colOff>
      <xdr:row>11</xdr:row>
      <xdr:rowOff>0</xdr:rowOff>
    </xdr:from>
    <xdr:ext cx="5760000" cy="432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10</xdr:col>
      <xdr:colOff>0</xdr:colOff>
      <xdr:row>2</xdr:row>
      <xdr:rowOff>0</xdr:rowOff>
    </xdr:from>
    <xdr:ext cx="9360000" cy="72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15</xdr:col>
      <xdr:colOff>0</xdr:colOff>
      <xdr:row>5</xdr:row>
      <xdr:rowOff>0</xdr:rowOff>
    </xdr:from>
    <xdr:ext cx="7920000" cy="504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11</xdr:col>
      <xdr:colOff>0</xdr:colOff>
      <xdr:row>2</xdr:row>
      <xdr:rowOff>0</xdr:rowOff>
    </xdr:from>
    <xdr:ext cx="9360000" cy="576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9</xdr:col>
      <xdr:colOff>0</xdr:colOff>
      <xdr:row>2</xdr:row>
      <xdr:rowOff>0</xdr:rowOff>
    </xdr:from>
    <xdr:ext cx="6480000" cy="50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18</xdr:col>
      <xdr:colOff>0</xdr:colOff>
      <xdr:row>2</xdr:row>
      <xdr:rowOff>0</xdr:rowOff>
    </xdr:from>
    <xdr:ext cx="7920000" cy="5040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6.xml><?xml version="1.0" encoding="utf-8"?>
<xdr:wsDr xmlns:xdr="http://schemas.openxmlformats.org/drawingml/2006/spreadsheetDrawing" xmlns:a="http://schemas.openxmlformats.org/drawingml/2006/main">
  <xdr:twoCellAnchor editAs="oneCell">
    <xdr:from>
      <xdr:col>6</xdr:col>
      <xdr:colOff>0</xdr:colOff>
      <xdr:row>9</xdr:row>
      <xdr:rowOff>165101</xdr:rowOff>
    </xdr:from>
    <xdr:to>
      <xdr:col>8</xdr:col>
      <xdr:colOff>247649</xdr:colOff>
      <xdr:row>21</xdr:row>
      <xdr:rowOff>76201</xdr:rowOff>
    </xdr:to>
    <mc:AlternateContent xmlns:mc="http://schemas.openxmlformats.org/markup-compatibility/2006">
      <mc:Choice xmlns:a14="http://schemas.microsoft.com/office/drawing/2010/main" Requires="a14">
        <xdr:graphicFrame macro="">
          <xdr:nvGraphicFramePr>
            <xdr:cNvPr id="2" name="SECTOR">
              <a:extLst>
                <a:ext uri="{FF2B5EF4-FFF2-40B4-BE49-F238E27FC236}">
                  <a16:creationId xmlns:a16="http://schemas.microsoft.com/office/drawing/2014/main" id="{7E646005-5839-E467-D10F-EF84B6DDFD76}"/>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0" name=""/>
            <xdr:cNvSpPr>
              <a:spLocks noTextEdit="1"/>
            </xdr:cNvSpPr>
          </xdr:nvSpPr>
          <xdr:spPr>
            <a:xfrm>
              <a:off x="5270500" y="1879601"/>
              <a:ext cx="1454149" cy="2197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0</xdr:row>
      <xdr:rowOff>19051</xdr:rowOff>
    </xdr:from>
    <xdr:to>
      <xdr:col>8</xdr:col>
      <xdr:colOff>253999</xdr:colOff>
      <xdr:row>9</xdr:row>
      <xdr:rowOff>146051</xdr:rowOff>
    </xdr:to>
    <mc:AlternateContent xmlns:mc="http://schemas.openxmlformats.org/markup-compatibility/2006">
      <mc:Choice xmlns:a14="http://schemas.microsoft.com/office/drawing/2010/main" Requires="a14">
        <xdr:graphicFrame macro="">
          <xdr:nvGraphicFramePr>
            <xdr:cNvPr id="3" name="MANAGER">
              <a:extLst>
                <a:ext uri="{FF2B5EF4-FFF2-40B4-BE49-F238E27FC236}">
                  <a16:creationId xmlns:a16="http://schemas.microsoft.com/office/drawing/2014/main" id="{D28F42F2-37EC-7809-5FF5-4F7D1D1DBACE}"/>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5270500" y="19051"/>
              <a:ext cx="1460499" cy="184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603250</xdr:colOff>
      <xdr:row>21</xdr:row>
      <xdr:rowOff>107951</xdr:rowOff>
    </xdr:from>
    <xdr:to>
      <xdr:col>8</xdr:col>
      <xdr:colOff>253999</xdr:colOff>
      <xdr:row>30</xdr:row>
      <xdr:rowOff>6350</xdr:rowOff>
    </xdr:to>
    <mc:AlternateContent xmlns:mc="http://schemas.openxmlformats.org/markup-compatibility/2006">
      <mc:Choice xmlns:a14="http://schemas.microsoft.com/office/drawing/2010/main" Requires="a14">
        <xdr:graphicFrame macro="">
          <xdr:nvGraphicFramePr>
            <xdr:cNvPr id="4" name="RISK">
              <a:extLst>
                <a:ext uri="{FF2B5EF4-FFF2-40B4-BE49-F238E27FC236}">
                  <a16:creationId xmlns:a16="http://schemas.microsoft.com/office/drawing/2014/main" id="{B5780B9D-DDB9-53D1-E494-57E6846B68A9}"/>
                </a:ext>
              </a:extLst>
            </xdr:cNvPr>
            <xdr:cNvGraphicFramePr/>
          </xdr:nvGraphicFramePr>
          <xdr:xfrm>
            <a:off x="0" y="0"/>
            <a:ext cx="0" cy="0"/>
          </xdr:xfrm>
          <a:graphic>
            <a:graphicData uri="http://schemas.microsoft.com/office/drawing/2010/slicer">
              <sle:slicer xmlns:sle="http://schemas.microsoft.com/office/drawing/2010/slicer" name="RISK"/>
            </a:graphicData>
          </a:graphic>
        </xdr:graphicFrame>
      </mc:Choice>
      <mc:Fallback>
        <xdr:sp macro="" textlink="">
          <xdr:nvSpPr>
            <xdr:cNvPr id="0" name=""/>
            <xdr:cNvSpPr>
              <a:spLocks noTextEdit="1"/>
            </xdr:cNvSpPr>
          </xdr:nvSpPr>
          <xdr:spPr>
            <a:xfrm>
              <a:off x="5270500" y="4108451"/>
              <a:ext cx="1460499" cy="1612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571500</xdr:colOff>
      <xdr:row>5</xdr:row>
      <xdr:rowOff>138793</xdr:rowOff>
    </xdr:from>
    <xdr:to>
      <xdr:col>16</xdr:col>
      <xdr:colOff>281215</xdr:colOff>
      <xdr:row>20</xdr:row>
      <xdr:rowOff>160565</xdr:rowOff>
    </xdr:to>
    <xdr:graphicFrame macro="">
      <xdr:nvGraphicFramePr>
        <xdr:cNvPr id="5" name="Chart 4">
          <a:extLst>
            <a:ext uri="{FF2B5EF4-FFF2-40B4-BE49-F238E27FC236}">
              <a16:creationId xmlns:a16="http://schemas.microsoft.com/office/drawing/2014/main" id="{FD77725E-7E37-3F81-EEAF-DAF6744D4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561975</xdr:colOff>
      <xdr:row>21</xdr:row>
      <xdr:rowOff>19050</xdr:rowOff>
    </xdr:from>
    <xdr:to>
      <xdr:col>16</xdr:col>
      <xdr:colOff>279400</xdr:colOff>
      <xdr:row>32</xdr:row>
      <xdr:rowOff>120650</xdr:rowOff>
    </xdr:to>
    <xdr:graphicFrame macro="">
      <xdr:nvGraphicFramePr>
        <xdr:cNvPr id="6" name="Chart 5">
          <a:extLst>
            <a:ext uri="{FF2B5EF4-FFF2-40B4-BE49-F238E27FC236}">
              <a16:creationId xmlns:a16="http://schemas.microsoft.com/office/drawing/2014/main" id="{1F79AD65-6740-0DF9-3271-49E79D3F3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542924</xdr:colOff>
      <xdr:row>33</xdr:row>
      <xdr:rowOff>12700</xdr:rowOff>
    </xdr:from>
    <xdr:to>
      <xdr:col>16</xdr:col>
      <xdr:colOff>285749</xdr:colOff>
      <xdr:row>47</xdr:row>
      <xdr:rowOff>177800</xdr:rowOff>
    </xdr:to>
    <xdr:graphicFrame macro="">
      <xdr:nvGraphicFramePr>
        <xdr:cNvPr id="7" name="Chart 6">
          <a:extLst>
            <a:ext uri="{FF2B5EF4-FFF2-40B4-BE49-F238E27FC236}">
              <a16:creationId xmlns:a16="http://schemas.microsoft.com/office/drawing/2014/main" id="{C73A88D8-FBBC-1827-E0AA-08166BB9B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10</xdr:row>
      <xdr:rowOff>0</xdr:rowOff>
    </xdr:from>
    <xdr:to>
      <xdr:col>0</xdr:col>
      <xdr:colOff>4586515</xdr:colOff>
      <xdr:row>25</xdr:row>
      <xdr:rowOff>21772</xdr:rowOff>
    </xdr:to>
    <xdr:graphicFrame macro="">
      <xdr:nvGraphicFramePr>
        <xdr:cNvPr id="2" name="Chart 1">
          <a:extLst>
            <a:ext uri="{FF2B5EF4-FFF2-40B4-BE49-F238E27FC236}">
              <a16:creationId xmlns:a16="http://schemas.microsoft.com/office/drawing/2014/main" id="{7A3C3F67-269A-4D0D-AC49-7044DDF6A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584200</xdr:colOff>
      <xdr:row>2</xdr:row>
      <xdr:rowOff>31750</xdr:rowOff>
    </xdr:from>
    <xdr:to>
      <xdr:col>10</xdr:col>
      <xdr:colOff>301625</xdr:colOff>
      <xdr:row>13</xdr:row>
      <xdr:rowOff>133350</xdr:rowOff>
    </xdr:to>
    <xdr:graphicFrame macro="">
      <xdr:nvGraphicFramePr>
        <xdr:cNvPr id="3" name="Chart 2">
          <a:extLst>
            <a:ext uri="{FF2B5EF4-FFF2-40B4-BE49-F238E27FC236}">
              <a16:creationId xmlns:a16="http://schemas.microsoft.com/office/drawing/2014/main" id="{B1C974D1-0B8E-437D-9D72-4BB1DA48F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603250</xdr:colOff>
      <xdr:row>16</xdr:row>
      <xdr:rowOff>57150</xdr:rowOff>
    </xdr:from>
    <xdr:to>
      <xdr:col>10</xdr:col>
      <xdr:colOff>346075</xdr:colOff>
      <xdr:row>31</xdr:row>
      <xdr:rowOff>38100</xdr:rowOff>
    </xdr:to>
    <xdr:graphicFrame macro="">
      <xdr:nvGraphicFramePr>
        <xdr:cNvPr id="4" name="Chart 3">
          <a:extLst>
            <a:ext uri="{FF2B5EF4-FFF2-40B4-BE49-F238E27FC236}">
              <a16:creationId xmlns:a16="http://schemas.microsoft.com/office/drawing/2014/main" id="{E8A47DD4-B39D-476A-8AFB-30D89FE25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hosh" refreshedDate="46202.057047222224" createdVersion="8" refreshedVersion="8" minRefreshableVersion="3" recordCount="800" xr:uid="{71BFEBCC-AF16-4E81-A9EB-5C218280D94B}">
  <cacheSource type="worksheet">
    <worksheetSource ref="A2:Q802" sheet="TRADE LEDGER"/>
  </cacheSource>
  <cacheFields count="17">
    <cacheField name="TRADE ID" numFmtId="0">
      <sharedItems/>
    </cacheField>
    <cacheField name="DATE" numFmtId="0">
      <sharedItems/>
    </cacheField>
    <cacheField name="TICKER" numFmtId="0">
      <sharedItems/>
    </cacheField>
    <cacheField name="COMPANY" numFmtId="0">
      <sharedItems/>
    </cacheField>
    <cacheField name="SECTOR" numFmtId="0">
      <sharedItems count="7">
        <s v="Technology"/>
        <s v="Industrials"/>
        <s v="Healthcare"/>
        <s v="Energy"/>
        <s v="Financials"/>
        <s v="Comm."/>
        <s v="Cons. Disc."/>
      </sharedItems>
    </cacheField>
    <cacheField name="MANAGER" numFmtId="0">
      <sharedItems count="5">
        <s v="T.Mason"/>
        <s v="B.Axelrod"/>
        <s v="D.Bill"/>
        <s v="B.Kim"/>
        <s v="W.Wagner"/>
      </sharedItems>
    </cacheField>
    <cacheField name="STRATEGY" numFmtId="0">
      <sharedItems count="4">
        <s v="Arb"/>
        <s v="Long"/>
        <s v="Short"/>
        <s v="Merger Arb"/>
      </sharedItems>
    </cacheField>
    <cacheField name="BUY PX" numFmtId="0">
      <sharedItems containsSemiMixedTypes="0" containsString="0" containsNumber="1" minValue="41.14" maxValue="887.78"/>
    </cacheField>
    <cacheField name="SELL PX" numFmtId="0">
      <sharedItems containsSemiMixedTypes="0" containsString="0" containsNumber="1" minValue="32.119999999999997" maxValue="1277.3"/>
    </cacheField>
    <cacheField name="SHARES" numFmtId="0">
      <sharedItems containsSemiMixedTypes="0" containsString="0" containsNumber="1" containsInteger="1" minValue="111" maxValue="4998"/>
    </cacheField>
    <cacheField name="CAPITAL($)" numFmtId="0">
      <sharedItems containsSemiMixedTypes="0" containsString="0" containsNumber="1" minValue="6539.4" maxValue="3586723.98"/>
    </cacheField>
    <cacheField name="RETURN($)" numFmtId="0">
      <sharedItems containsSemiMixedTypes="0" containsString="0" containsNumber="1" minValue="5976.45" maxValue="5105522.9400000004"/>
    </cacheField>
    <cacheField name="P&amp;L($)" numFmtId="0">
      <sharedItems containsSemiMixedTypes="0" containsString="0" containsNumber="1" minValue="-940075.5" maxValue="1834152.6"/>
    </cacheField>
    <cacheField name="P&amp;L%" numFmtId="0">
      <sharedItems containsSemiMixedTypes="0" containsString="0" containsNumber="1" minValue="-37.92" maxValue="57.93"/>
    </cacheField>
    <cacheField name="RISK" numFmtId="0">
      <sharedItems count="3">
        <s v="LOW"/>
        <s v="HIGH"/>
        <s v="MED"/>
      </sharedItems>
    </cacheField>
    <cacheField name="VOL" numFmtId="0">
      <sharedItems containsSemiMixedTypes="0" containsString="0" containsNumber="1" minValue="0.1202" maxValue="0.54979999999999996"/>
    </cacheField>
    <cacheField name="BETA" numFmtId="0">
      <sharedItems containsSemiMixedTypes="0" containsString="0" containsNumber="1" minValue="0.6" maxValue="1.8"/>
    </cacheField>
  </cacheFields>
  <extLst>
    <ext xmlns:x14="http://schemas.microsoft.com/office/spreadsheetml/2009/9/main" uri="{725AE2AE-9491-48be-B2B4-4EB974FC3084}">
      <x14:pivotCacheDefinition pivotCacheId="12202353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AXE-0001"/>
    <s v="2022-01-26"/>
    <s v="NVDA"/>
    <s v="NVIDIA Corp."/>
    <x v="0"/>
    <x v="0"/>
    <x v="0"/>
    <n v="535.12"/>
    <n v="509.3"/>
    <n v="1928"/>
    <n v="1031711.36"/>
    <n v="981930.4"/>
    <n v="-49780.959999999999"/>
    <n v="-4.83"/>
    <x v="0"/>
    <n v="0.4385"/>
    <n v="1.25"/>
  </r>
  <r>
    <s v="AXE-0002"/>
    <s v="2023-03-09"/>
    <s v="CAT"/>
    <s v="Caterpillar"/>
    <x v="1"/>
    <x v="1"/>
    <x v="1"/>
    <n v="219.74"/>
    <n v="271.10000000000002"/>
    <n v="867"/>
    <n v="190514.58"/>
    <n v="235043.7"/>
    <n v="44529.120000000003"/>
    <n v="23.37"/>
    <x v="1"/>
    <n v="0.13139999999999999"/>
    <n v="0.84"/>
  </r>
  <r>
    <s v="AXE-0003"/>
    <s v="2023-03-06"/>
    <s v="BA"/>
    <s v="Boeing Co."/>
    <x v="1"/>
    <x v="2"/>
    <x v="2"/>
    <n v="196.03"/>
    <n v="199.93"/>
    <n v="4927"/>
    <n v="965839.81"/>
    <n v="985055.11"/>
    <n v="19215.3"/>
    <n v="1.99"/>
    <x v="0"/>
    <n v="0.44629999999999997"/>
    <n v="0.79"/>
  </r>
  <r>
    <s v="AXE-0004"/>
    <s v="2022-12-15"/>
    <s v="LLY"/>
    <s v="Eli Lilly"/>
    <x v="2"/>
    <x v="0"/>
    <x v="0"/>
    <n v="625.44000000000005"/>
    <n v="697.75"/>
    <n v="1863"/>
    <n v="1165194.72"/>
    <n v="1299908.25"/>
    <n v="134713.53"/>
    <n v="11.56"/>
    <x v="2"/>
    <n v="0.15989999999999999"/>
    <n v="0.72"/>
  </r>
  <r>
    <s v="AXE-0005"/>
    <s v="2023-09-11"/>
    <s v="OXY"/>
    <s v="Occidental Pet."/>
    <x v="3"/>
    <x v="1"/>
    <x v="0"/>
    <n v="65.709999999999994"/>
    <n v="102.59"/>
    <n v="3863"/>
    <n v="253837.73"/>
    <n v="396305.17"/>
    <n v="142467.44"/>
    <n v="56.13"/>
    <x v="1"/>
    <n v="0.2828"/>
    <n v="1.26"/>
  </r>
  <r>
    <s v="AXE-0006"/>
    <s v="2023-01-06"/>
    <s v="MS"/>
    <s v="Morgan Stanley"/>
    <x v="4"/>
    <x v="1"/>
    <x v="2"/>
    <n v="94.35"/>
    <n v="92.05"/>
    <n v="475"/>
    <n v="44816.25"/>
    <n v="43723.75"/>
    <n v="-1092.5"/>
    <n v="-2.44"/>
    <x v="0"/>
    <n v="0.54359999999999997"/>
    <n v="1.63"/>
  </r>
  <r>
    <s v="AXE-0007"/>
    <s v="2023-01-25"/>
    <s v="NVDA"/>
    <s v="NVIDIA Corp."/>
    <x v="0"/>
    <x v="2"/>
    <x v="0"/>
    <n v="539.28"/>
    <n v="608.67999999999995"/>
    <n v="3088"/>
    <n v="1665296.64"/>
    <n v="1879603.84"/>
    <n v="214307.20000000001"/>
    <n v="12.87"/>
    <x v="2"/>
    <n v="0.40820000000000001"/>
    <n v="1.44"/>
  </r>
  <r>
    <s v="AXE-0008"/>
    <s v="2023-09-16"/>
    <s v="GOOGL"/>
    <s v="Alphabet Inc."/>
    <x v="0"/>
    <x v="3"/>
    <x v="1"/>
    <n v="125.86"/>
    <n v="144.19"/>
    <n v="2105"/>
    <n v="264935.3"/>
    <n v="303519.95"/>
    <n v="38584.65"/>
    <n v="14.56"/>
    <x v="2"/>
    <n v="0.54549999999999998"/>
    <n v="1.37"/>
  </r>
  <r>
    <s v="AXE-0009"/>
    <s v="2022-08-13"/>
    <s v="BA"/>
    <s v="Boeing Co."/>
    <x v="1"/>
    <x v="1"/>
    <x v="3"/>
    <n v="230.27"/>
    <n v="332.4"/>
    <n v="1976"/>
    <n v="455013.52"/>
    <n v="656822.4"/>
    <n v="201808.88"/>
    <n v="44.35"/>
    <x v="1"/>
    <n v="0.29249999999999998"/>
    <n v="0.68"/>
  </r>
  <r>
    <s v="AXE-0010"/>
    <s v="2022-11-19"/>
    <s v="CAT"/>
    <s v="Caterpillar"/>
    <x v="1"/>
    <x v="2"/>
    <x v="2"/>
    <n v="267.7"/>
    <n v="245.14"/>
    <n v="3341"/>
    <n v="894385.7"/>
    <n v="819012.74"/>
    <n v="-75372.960000000006"/>
    <n v="-8.43"/>
    <x v="2"/>
    <n v="0.18140000000000001"/>
    <n v="0.77"/>
  </r>
  <r>
    <s v="AXE-0011"/>
    <s v="2023-07-06"/>
    <s v="BA"/>
    <s v="Boeing Co."/>
    <x v="1"/>
    <x v="3"/>
    <x v="0"/>
    <n v="235.06"/>
    <n v="272.57"/>
    <n v="3609"/>
    <n v="848331.54"/>
    <n v="983705.13"/>
    <n v="135373.59"/>
    <n v="15.96"/>
    <x v="2"/>
    <n v="0.21429999999999999"/>
    <n v="1.8"/>
  </r>
  <r>
    <s v="AXE-0012"/>
    <s v="2023-05-21"/>
    <s v="NFLX"/>
    <s v="Netflix Inc."/>
    <x v="5"/>
    <x v="1"/>
    <x v="1"/>
    <n v="403.13"/>
    <n v="399.9"/>
    <n v="998"/>
    <n v="402323.74"/>
    <n v="399100.2"/>
    <n v="-3223.54"/>
    <n v="-0.8"/>
    <x v="0"/>
    <n v="0.41260000000000002"/>
    <n v="1.32"/>
  </r>
  <r>
    <s v="AXE-0013"/>
    <s v="2023-01-26"/>
    <s v="JNJ"/>
    <s v="J&amp;J"/>
    <x v="2"/>
    <x v="3"/>
    <x v="2"/>
    <n v="188.32"/>
    <n v="191.33"/>
    <n v="2159"/>
    <n v="406582.88"/>
    <n v="413081.47"/>
    <n v="6498.59"/>
    <n v="1.6"/>
    <x v="0"/>
    <n v="0.1249"/>
    <n v="1.46"/>
  </r>
  <r>
    <s v="AXE-0014"/>
    <s v="2022-10-01"/>
    <s v="BA"/>
    <s v="Boeing Co."/>
    <x v="1"/>
    <x v="1"/>
    <x v="3"/>
    <n v="205.89"/>
    <n v="246.58"/>
    <n v="2504"/>
    <n v="515548.56"/>
    <n v="617436.31999999995"/>
    <n v="101887.76"/>
    <n v="19.760000000000002"/>
    <x v="2"/>
    <n v="0.53010000000000002"/>
    <n v="1.65"/>
  </r>
  <r>
    <s v="AXE-0015"/>
    <s v="2023-05-28"/>
    <s v="GS"/>
    <s v="Goldman Sachs"/>
    <x v="4"/>
    <x v="3"/>
    <x v="1"/>
    <n v="422.24"/>
    <n v="459.78"/>
    <n v="971"/>
    <n v="409995.04"/>
    <n v="446446.38"/>
    <n v="36451.339999999997"/>
    <n v="8.89"/>
    <x v="2"/>
    <n v="0.3947"/>
    <n v="1.33"/>
  </r>
  <r>
    <s v="AXE-0016"/>
    <s v="2023-01-18"/>
    <s v="META"/>
    <s v="Meta Platforms"/>
    <x v="0"/>
    <x v="3"/>
    <x v="1"/>
    <n v="393.94"/>
    <n v="511.83"/>
    <n v="4444"/>
    <n v="1750669.36"/>
    <n v="2274572.52"/>
    <n v="523903.16"/>
    <n v="29.93"/>
    <x v="1"/>
    <n v="0.3301"/>
    <n v="0.73"/>
  </r>
  <r>
    <s v="AXE-0017"/>
    <s v="2022-11-11"/>
    <s v="OXY"/>
    <s v="Occidental Pet."/>
    <x v="3"/>
    <x v="1"/>
    <x v="2"/>
    <n v="72.37"/>
    <n v="76.39"/>
    <n v="2073"/>
    <n v="150023.01"/>
    <n v="158356.47"/>
    <n v="8333.4599999999991"/>
    <n v="5.55"/>
    <x v="0"/>
    <n v="0.15679999999999999"/>
    <n v="1.18"/>
  </r>
  <r>
    <s v="AXE-0018"/>
    <s v="2023-06-30"/>
    <s v="GOOGL"/>
    <s v="Alphabet Inc."/>
    <x v="0"/>
    <x v="0"/>
    <x v="1"/>
    <n v="158.77000000000001"/>
    <n v="158.07"/>
    <n v="3993"/>
    <n v="633968.61"/>
    <n v="631173.51"/>
    <n v="-2795.1"/>
    <n v="-0.44"/>
    <x v="0"/>
    <n v="0.34689999999999999"/>
    <n v="1.33"/>
  </r>
  <r>
    <s v="AXE-0019"/>
    <s v="2023-07-07"/>
    <s v="TSLA"/>
    <s v="Tesla Inc."/>
    <x v="6"/>
    <x v="4"/>
    <x v="2"/>
    <n v="252.68"/>
    <n v="232.2"/>
    <n v="3368"/>
    <n v="851026.24"/>
    <n v="782049.6"/>
    <n v="-68976.639999999999"/>
    <n v="-8.11"/>
    <x v="2"/>
    <n v="0.30840000000000001"/>
    <n v="1.22"/>
  </r>
  <r>
    <s v="AXE-0020"/>
    <s v="2022-09-11"/>
    <s v="NVDA"/>
    <s v="NVIDIA Corp."/>
    <x v="0"/>
    <x v="1"/>
    <x v="2"/>
    <n v="513.79"/>
    <n v="449.47"/>
    <n v="2869"/>
    <n v="1474063.51"/>
    <n v="1289529.43"/>
    <n v="-184534.08"/>
    <n v="-12.52"/>
    <x v="2"/>
    <n v="0.373"/>
    <n v="0.61"/>
  </r>
  <r>
    <s v="AXE-0021"/>
    <s v="2022-08-23"/>
    <s v="MSFT"/>
    <s v="Microsoft Corp."/>
    <x v="0"/>
    <x v="1"/>
    <x v="1"/>
    <n v="278.8"/>
    <n v="291.79000000000002"/>
    <n v="2806"/>
    <n v="782312.8"/>
    <n v="818762.74"/>
    <n v="36449.94"/>
    <n v="4.66"/>
    <x v="0"/>
    <n v="0.40770000000000001"/>
    <n v="0.86"/>
  </r>
  <r>
    <s v="AXE-0022"/>
    <s v="2023-08-08"/>
    <s v="META"/>
    <s v="Meta Platforms"/>
    <x v="0"/>
    <x v="0"/>
    <x v="2"/>
    <n v="382.29"/>
    <n v="270.5"/>
    <n v="3974"/>
    <n v="1519220.46"/>
    <n v="1074967"/>
    <n v="-444253.46"/>
    <n v="-29.24"/>
    <x v="1"/>
    <n v="0.16170000000000001"/>
    <n v="1.1200000000000001"/>
  </r>
  <r>
    <s v="AXE-0023"/>
    <s v="2023-02-25"/>
    <s v="LLY"/>
    <s v="Eli Lilly"/>
    <x v="2"/>
    <x v="1"/>
    <x v="2"/>
    <n v="477.5"/>
    <n v="456"/>
    <n v="906"/>
    <n v="432615"/>
    <n v="413136"/>
    <n v="-19479"/>
    <n v="-4.5"/>
    <x v="0"/>
    <n v="0.46429999999999999"/>
    <n v="0.73"/>
  </r>
  <r>
    <s v="AXE-0024"/>
    <s v="2022-07-14"/>
    <s v="TSLA"/>
    <s v="Tesla Inc."/>
    <x v="6"/>
    <x v="0"/>
    <x v="2"/>
    <n v="199.11"/>
    <n v="165.82"/>
    <n v="3556"/>
    <n v="708035.16"/>
    <n v="589655.92000000004"/>
    <n v="-118379.24"/>
    <n v="-16.72"/>
    <x v="2"/>
    <n v="0.496"/>
    <n v="0.69"/>
  </r>
  <r>
    <s v="AXE-0025"/>
    <s v="2022-04-11"/>
    <s v="BA"/>
    <s v="Boeing Co."/>
    <x v="1"/>
    <x v="3"/>
    <x v="1"/>
    <n v="239.55"/>
    <n v="366.14"/>
    <n v="220"/>
    <n v="52701"/>
    <n v="80550.8"/>
    <n v="27849.8"/>
    <n v="52.84"/>
    <x v="1"/>
    <n v="0.4849"/>
    <n v="0.8"/>
  </r>
  <r>
    <s v="AXE-0026"/>
    <s v="2023-05-08"/>
    <s v="BLK"/>
    <s v="BlackRock"/>
    <x v="4"/>
    <x v="2"/>
    <x v="2"/>
    <n v="701.53"/>
    <n v="435.64"/>
    <n v="580"/>
    <n v="406887.4"/>
    <n v="252671.2"/>
    <n v="-154216.20000000001"/>
    <n v="-37.9"/>
    <x v="1"/>
    <n v="0.28789999999999999"/>
    <n v="1.71"/>
  </r>
  <r>
    <s v="AXE-0027"/>
    <s v="2022-10-20"/>
    <s v="PFE"/>
    <s v="Pfizer Inc."/>
    <x v="2"/>
    <x v="3"/>
    <x v="1"/>
    <n v="43.03"/>
    <n v="46.8"/>
    <n v="4086"/>
    <n v="175820.58"/>
    <n v="191224.8"/>
    <n v="15404.22"/>
    <n v="8.76"/>
    <x v="2"/>
    <n v="0.53649999999999998"/>
    <n v="1.3"/>
  </r>
  <r>
    <s v="AXE-0028"/>
    <s v="2022-03-04"/>
    <s v="BA"/>
    <s v="Boeing Co."/>
    <x v="1"/>
    <x v="1"/>
    <x v="3"/>
    <n v="215.3"/>
    <n v="265.25"/>
    <n v="510"/>
    <n v="109803"/>
    <n v="135277.5"/>
    <n v="25474.5"/>
    <n v="23.2"/>
    <x v="1"/>
    <n v="0.48670000000000002"/>
    <n v="0.79"/>
  </r>
  <r>
    <s v="AXE-0029"/>
    <s v="2022-03-24"/>
    <s v="NFLX"/>
    <s v="Netflix Inc."/>
    <x v="5"/>
    <x v="1"/>
    <x v="1"/>
    <n v="391.67"/>
    <n v="580.95000000000005"/>
    <n v="4974"/>
    <n v="1948166.58"/>
    <n v="2889645.3"/>
    <n v="941478.72"/>
    <n v="48.33"/>
    <x v="1"/>
    <n v="0.29360000000000003"/>
    <n v="1.73"/>
  </r>
  <r>
    <s v="AXE-0030"/>
    <s v="2022-09-10"/>
    <s v="CAT"/>
    <s v="Caterpillar"/>
    <x v="1"/>
    <x v="3"/>
    <x v="1"/>
    <n v="234.18"/>
    <n v="301.76"/>
    <n v="771"/>
    <n v="180552.78"/>
    <n v="232656.96"/>
    <n v="52104.18"/>
    <n v="28.86"/>
    <x v="1"/>
    <n v="0.3448"/>
    <n v="1.72"/>
  </r>
  <r>
    <s v="AXE-0031"/>
    <s v="2023-11-17"/>
    <s v="TSLA"/>
    <s v="Tesla Inc."/>
    <x v="6"/>
    <x v="0"/>
    <x v="3"/>
    <n v="213.12"/>
    <n v="287.75"/>
    <n v="2275"/>
    <n v="484848"/>
    <n v="654631.25"/>
    <n v="169783.25"/>
    <n v="35.020000000000003"/>
    <x v="1"/>
    <n v="0.249"/>
    <n v="0.98"/>
  </r>
  <r>
    <s v="AXE-0032"/>
    <s v="2022-01-10"/>
    <s v="GOOGL"/>
    <s v="Alphabet Inc."/>
    <x v="0"/>
    <x v="3"/>
    <x v="2"/>
    <n v="160.84"/>
    <n v="105.14"/>
    <n v="4712"/>
    <n v="757878.08"/>
    <n v="495419.68"/>
    <n v="-262458.40000000002"/>
    <n v="-34.630000000000003"/>
    <x v="1"/>
    <n v="0.2117"/>
    <n v="0.92"/>
  </r>
  <r>
    <s v="AXE-0033"/>
    <s v="2022-03-12"/>
    <s v="OXY"/>
    <s v="Occidental Pet."/>
    <x v="3"/>
    <x v="4"/>
    <x v="2"/>
    <n v="58.33"/>
    <n v="58.54"/>
    <n v="2434"/>
    <n v="141975.22"/>
    <n v="142486.35999999999"/>
    <n v="511.14"/>
    <n v="0.36"/>
    <x v="0"/>
    <n v="0.42249999999999999"/>
    <n v="1.33"/>
  </r>
  <r>
    <s v="AXE-0034"/>
    <s v="2022-01-09"/>
    <s v="NFLX"/>
    <s v="Netflix Inc."/>
    <x v="5"/>
    <x v="1"/>
    <x v="0"/>
    <n v="418.2"/>
    <n v="628.47"/>
    <n v="1200"/>
    <n v="501840"/>
    <n v="754164"/>
    <n v="252324"/>
    <n v="50.28"/>
    <x v="1"/>
    <n v="0.43919999999999998"/>
    <n v="0.79"/>
  </r>
  <r>
    <s v="AXE-0035"/>
    <s v="2023-09-12"/>
    <s v="XOM"/>
    <s v="Exxon Mobil"/>
    <x v="3"/>
    <x v="4"/>
    <x v="2"/>
    <n v="110.91"/>
    <n v="112.28"/>
    <n v="1767"/>
    <n v="195977.97"/>
    <n v="198398.76"/>
    <n v="2420.79"/>
    <n v="1.24"/>
    <x v="0"/>
    <n v="0.33729999999999999"/>
    <n v="0.9"/>
  </r>
  <r>
    <s v="AXE-0036"/>
    <s v="2022-04-05"/>
    <s v="MSFT"/>
    <s v="Microsoft Corp."/>
    <x v="0"/>
    <x v="4"/>
    <x v="1"/>
    <n v="272.33999999999997"/>
    <n v="386.66"/>
    <n v="461"/>
    <n v="125548.74"/>
    <n v="178250.26"/>
    <n v="52701.52"/>
    <n v="41.98"/>
    <x v="1"/>
    <n v="0.39400000000000002"/>
    <n v="0.91"/>
  </r>
  <r>
    <s v="AXE-0037"/>
    <s v="2023-07-19"/>
    <s v="PFE"/>
    <s v="Pfizer Inc."/>
    <x v="2"/>
    <x v="3"/>
    <x v="1"/>
    <n v="42.41"/>
    <n v="65.38"/>
    <n v="179"/>
    <n v="7591.39"/>
    <n v="11703.02"/>
    <n v="4111.63"/>
    <n v="54.16"/>
    <x v="1"/>
    <n v="0.41710000000000003"/>
    <n v="0.78"/>
  </r>
  <r>
    <s v="AXE-0038"/>
    <s v="2023-01-14"/>
    <s v="MSFT"/>
    <s v="Microsoft Corp."/>
    <x v="0"/>
    <x v="2"/>
    <x v="1"/>
    <n v="276.02"/>
    <n v="313.35000000000002"/>
    <n v="1144"/>
    <n v="315766.88"/>
    <n v="358472.4"/>
    <n v="42705.52"/>
    <n v="13.52"/>
    <x v="2"/>
    <n v="0.5212"/>
    <n v="1.77"/>
  </r>
  <r>
    <s v="AXE-0039"/>
    <s v="2023-01-02"/>
    <s v="MSFT"/>
    <s v="Microsoft Corp."/>
    <x v="0"/>
    <x v="0"/>
    <x v="2"/>
    <n v="305.95"/>
    <n v="268.49"/>
    <n v="942"/>
    <n v="288204.90000000002"/>
    <n v="252917.58"/>
    <n v="-35287.32"/>
    <n v="-12.24"/>
    <x v="2"/>
    <n v="0.49609999999999999"/>
    <n v="1.77"/>
  </r>
  <r>
    <s v="AXE-0040"/>
    <s v="2022-08-31"/>
    <s v="META"/>
    <s v="Meta Platforms"/>
    <x v="0"/>
    <x v="0"/>
    <x v="1"/>
    <n v="300.10000000000002"/>
    <n v="418.82"/>
    <n v="3477"/>
    <n v="1043447.7"/>
    <n v="1456237.14"/>
    <n v="412789.44"/>
    <n v="39.56"/>
    <x v="1"/>
    <n v="0.26279999999999998"/>
    <n v="1.72"/>
  </r>
  <r>
    <s v="AXE-0041"/>
    <s v="2022-10-01"/>
    <s v="JPM"/>
    <s v="JPMorgan Chase"/>
    <x v="4"/>
    <x v="1"/>
    <x v="1"/>
    <n v="172.31"/>
    <n v="255.19"/>
    <n v="3233"/>
    <n v="557078.23"/>
    <n v="825029.27"/>
    <n v="267951.03999999998"/>
    <n v="48.1"/>
    <x v="1"/>
    <n v="0.21560000000000001"/>
    <n v="1.58"/>
  </r>
  <r>
    <s v="AXE-0042"/>
    <s v="2022-12-25"/>
    <s v="PFE"/>
    <s v="Pfizer Inc."/>
    <x v="2"/>
    <x v="0"/>
    <x v="0"/>
    <n v="41.14"/>
    <n v="41.76"/>
    <n v="1926"/>
    <n v="79235.64"/>
    <n v="80429.759999999995"/>
    <n v="1194.1199999999999"/>
    <n v="1.51"/>
    <x v="0"/>
    <n v="0.26119999999999999"/>
    <n v="1.64"/>
  </r>
  <r>
    <s v="AXE-0043"/>
    <s v="2022-12-26"/>
    <s v="GS"/>
    <s v="Goldman Sachs"/>
    <x v="4"/>
    <x v="3"/>
    <x v="1"/>
    <n v="430.07"/>
    <n v="413.19"/>
    <n v="2812"/>
    <n v="1209356.8400000001"/>
    <n v="1161890.28"/>
    <n v="-47466.559999999998"/>
    <n v="-3.92"/>
    <x v="0"/>
    <n v="0.5373"/>
    <n v="0.81"/>
  </r>
  <r>
    <s v="AXE-0044"/>
    <s v="2022-02-09"/>
    <s v="GS"/>
    <s v="Goldman Sachs"/>
    <x v="4"/>
    <x v="3"/>
    <x v="1"/>
    <n v="362.41"/>
    <n v="518.42999999999995"/>
    <n v="3659"/>
    <n v="1326058.19"/>
    <n v="1896935.37"/>
    <n v="570877.18000000005"/>
    <n v="43.05"/>
    <x v="1"/>
    <n v="0.30759999999999998"/>
    <n v="1.78"/>
  </r>
  <r>
    <s v="AXE-0045"/>
    <s v="2023-01-30"/>
    <s v="NVDA"/>
    <s v="NVIDIA Corp."/>
    <x v="0"/>
    <x v="4"/>
    <x v="2"/>
    <n v="637.58000000000004"/>
    <n v="395.8"/>
    <n v="463"/>
    <n v="295199.53999999998"/>
    <n v="183255.4"/>
    <n v="-111944.14"/>
    <n v="-37.92"/>
    <x v="1"/>
    <n v="0.51800000000000002"/>
    <n v="1.25"/>
  </r>
  <r>
    <s v="AXE-0046"/>
    <s v="2023-01-08"/>
    <s v="TSLA"/>
    <s v="Tesla Inc."/>
    <x v="6"/>
    <x v="1"/>
    <x v="1"/>
    <n v="228.13"/>
    <n v="306.69"/>
    <n v="2804"/>
    <n v="639676.52"/>
    <n v="859958.76"/>
    <n v="220282.23999999999"/>
    <n v="34.44"/>
    <x v="1"/>
    <n v="0.1736"/>
    <n v="1.68"/>
  </r>
  <r>
    <s v="AXE-0047"/>
    <s v="2022-11-13"/>
    <s v="NFLX"/>
    <s v="Netflix Inc."/>
    <x v="5"/>
    <x v="4"/>
    <x v="1"/>
    <n v="476.62"/>
    <n v="604.4"/>
    <n v="3396"/>
    <n v="1618601.52"/>
    <n v="2052542.4"/>
    <n v="433940.88"/>
    <n v="26.81"/>
    <x v="1"/>
    <n v="0.20250000000000001"/>
    <n v="1.4"/>
  </r>
  <r>
    <s v="AXE-0048"/>
    <s v="2023-11-25"/>
    <s v="JNJ"/>
    <s v="J&amp;J"/>
    <x v="2"/>
    <x v="3"/>
    <x v="1"/>
    <n v="155.15"/>
    <n v="196.04"/>
    <n v="4762"/>
    <n v="738824.3"/>
    <n v="933542.48"/>
    <n v="194718.18"/>
    <n v="26.36"/>
    <x v="1"/>
    <n v="0.1202"/>
    <n v="0.94"/>
  </r>
  <r>
    <s v="AXE-0049"/>
    <s v="2023-08-17"/>
    <s v="LLY"/>
    <s v="Eli Lilly"/>
    <x v="2"/>
    <x v="2"/>
    <x v="3"/>
    <n v="540.46"/>
    <n v="556.45000000000005"/>
    <n v="3719"/>
    <n v="2009970.74"/>
    <n v="2069437.55"/>
    <n v="59466.81"/>
    <n v="2.96"/>
    <x v="0"/>
    <n v="0.32350000000000001"/>
    <n v="1.68"/>
  </r>
  <r>
    <s v="AXE-0050"/>
    <s v="2023-11-06"/>
    <s v="AMZN"/>
    <s v="Amazon.com"/>
    <x v="6"/>
    <x v="4"/>
    <x v="1"/>
    <n v="152.13"/>
    <n v="199.82"/>
    <n v="4322"/>
    <n v="657505.86"/>
    <n v="863622.04"/>
    <n v="206116.18"/>
    <n v="31.35"/>
    <x v="1"/>
    <n v="0.16020000000000001"/>
    <n v="1.74"/>
  </r>
  <r>
    <s v="AXE-0051"/>
    <s v="2023-11-20"/>
    <s v="JPM"/>
    <s v="JPMorgan Chase"/>
    <x v="4"/>
    <x v="0"/>
    <x v="0"/>
    <n v="138.6"/>
    <n v="126.45"/>
    <n v="1731"/>
    <n v="239916.6"/>
    <n v="218884.95"/>
    <n v="-21031.65"/>
    <n v="-8.77"/>
    <x v="2"/>
    <n v="0.54310000000000003"/>
    <n v="1.33"/>
  </r>
  <r>
    <s v="AXE-0052"/>
    <s v="2023-04-12"/>
    <s v="GOOGL"/>
    <s v="Alphabet Inc."/>
    <x v="0"/>
    <x v="3"/>
    <x v="1"/>
    <n v="149.16999999999999"/>
    <n v="171.36"/>
    <n v="1692"/>
    <n v="252395.64"/>
    <n v="289941.12"/>
    <n v="37545.480000000003"/>
    <n v="14.88"/>
    <x v="2"/>
    <n v="0.29189999999999999"/>
    <n v="0.78"/>
  </r>
  <r>
    <s v="AXE-0053"/>
    <s v="2022-04-20"/>
    <s v="AAPL"/>
    <s v="Apple Inc."/>
    <x v="0"/>
    <x v="0"/>
    <x v="1"/>
    <n v="190.97"/>
    <n v="261.08"/>
    <n v="1540"/>
    <n v="294093.8"/>
    <n v="402063.2"/>
    <n v="107969.4"/>
    <n v="36.71"/>
    <x v="1"/>
    <n v="0.31979999999999997"/>
    <n v="1.27"/>
  </r>
  <r>
    <s v="AXE-0054"/>
    <s v="2023-04-13"/>
    <s v="NVDA"/>
    <s v="NVIDIA Corp."/>
    <x v="0"/>
    <x v="2"/>
    <x v="1"/>
    <n v="687.82"/>
    <n v="891.98"/>
    <n v="4451"/>
    <n v="3061486.82"/>
    <n v="3970202.98"/>
    <n v="908716.16"/>
    <n v="29.68"/>
    <x v="1"/>
    <n v="0.52849999999999997"/>
    <n v="1.67"/>
  </r>
  <r>
    <s v="AXE-0055"/>
    <s v="2023-06-01"/>
    <s v="MS"/>
    <s v="Morgan Stanley"/>
    <x v="4"/>
    <x v="3"/>
    <x v="1"/>
    <n v="100.72"/>
    <n v="141.06"/>
    <n v="3752"/>
    <n v="377901.44"/>
    <n v="529257.12"/>
    <n v="151355.68"/>
    <n v="40.049999999999997"/>
    <x v="1"/>
    <n v="0.3241"/>
    <n v="0.91"/>
  </r>
  <r>
    <s v="AXE-0056"/>
    <s v="2023-10-15"/>
    <s v="JPM"/>
    <s v="JPMorgan Chase"/>
    <x v="4"/>
    <x v="3"/>
    <x v="0"/>
    <n v="160.88999999999999"/>
    <n v="172.51"/>
    <n v="4069"/>
    <n v="654661.41"/>
    <n v="701943.19"/>
    <n v="47281.78"/>
    <n v="7.22"/>
    <x v="0"/>
    <n v="0.15329999999999999"/>
    <n v="0.94"/>
  </r>
  <r>
    <s v="AXE-0057"/>
    <s v="2022-12-10"/>
    <s v="GS"/>
    <s v="Goldman Sachs"/>
    <x v="4"/>
    <x v="3"/>
    <x v="3"/>
    <n v="338.77"/>
    <n v="352.96"/>
    <n v="760"/>
    <n v="257465.2"/>
    <n v="268249.59999999998"/>
    <n v="10784.4"/>
    <n v="4.1900000000000004"/>
    <x v="0"/>
    <n v="0.41839999999999999"/>
    <n v="1.45"/>
  </r>
  <r>
    <s v="AXE-0058"/>
    <s v="2023-03-01"/>
    <s v="GOOGL"/>
    <s v="Alphabet Inc."/>
    <x v="0"/>
    <x v="4"/>
    <x v="1"/>
    <n v="138.57"/>
    <n v="127.98"/>
    <n v="4545"/>
    <n v="629800.65"/>
    <n v="581669.1"/>
    <n v="-48131.55"/>
    <n v="-7.64"/>
    <x v="0"/>
    <n v="0.47810000000000002"/>
    <n v="1.07"/>
  </r>
  <r>
    <s v="AXE-0059"/>
    <s v="2023-12-14"/>
    <s v="CAT"/>
    <s v="Caterpillar"/>
    <x v="1"/>
    <x v="3"/>
    <x v="1"/>
    <n v="238.34"/>
    <n v="367.02"/>
    <n v="3216"/>
    <n v="766501.44"/>
    <n v="1180336.32"/>
    <n v="413834.88"/>
    <n v="53.99"/>
    <x v="1"/>
    <n v="0.24840000000000001"/>
    <n v="1.07"/>
  </r>
  <r>
    <s v="AXE-0060"/>
    <s v="2023-07-06"/>
    <s v="LLY"/>
    <s v="Eli Lilly"/>
    <x v="2"/>
    <x v="2"/>
    <x v="2"/>
    <n v="512.53"/>
    <n v="432.27"/>
    <n v="1897"/>
    <n v="972269.41"/>
    <n v="820016.19"/>
    <n v="-152253.22"/>
    <n v="-15.66"/>
    <x v="2"/>
    <n v="0.28720000000000001"/>
    <n v="1.4"/>
  </r>
  <r>
    <s v="AXE-0061"/>
    <s v="2022-06-19"/>
    <s v="JNJ"/>
    <s v="J&amp;J"/>
    <x v="2"/>
    <x v="0"/>
    <x v="2"/>
    <n v="141.58000000000001"/>
    <n v="113.44"/>
    <n v="4475"/>
    <n v="633570.5"/>
    <n v="507644"/>
    <n v="-125926.5"/>
    <n v="-19.88"/>
    <x v="2"/>
    <n v="0.36270000000000002"/>
    <n v="0.63"/>
  </r>
  <r>
    <s v="AXE-0062"/>
    <s v="2022-05-19"/>
    <s v="LLY"/>
    <s v="Eli Lilly"/>
    <x v="2"/>
    <x v="0"/>
    <x v="2"/>
    <n v="510.43"/>
    <n v="393.33"/>
    <n v="511"/>
    <n v="260829.73"/>
    <n v="200991.63"/>
    <n v="-59838.1"/>
    <n v="-22.94"/>
    <x v="1"/>
    <n v="0.3155"/>
    <n v="1.01"/>
  </r>
  <r>
    <s v="AXE-0063"/>
    <s v="2022-10-12"/>
    <s v="JNJ"/>
    <s v="J&amp;J"/>
    <x v="2"/>
    <x v="4"/>
    <x v="1"/>
    <n v="163.53"/>
    <n v="229.65"/>
    <n v="770"/>
    <n v="125918.1"/>
    <n v="176830.5"/>
    <n v="50912.4"/>
    <n v="40.43"/>
    <x v="1"/>
    <n v="0.1424"/>
    <n v="1.74"/>
  </r>
  <r>
    <s v="AXE-0064"/>
    <s v="2023-10-28"/>
    <s v="JPM"/>
    <s v="JPMorgan Chase"/>
    <x v="4"/>
    <x v="1"/>
    <x v="1"/>
    <n v="175.91"/>
    <n v="179.35"/>
    <n v="354"/>
    <n v="62272.14"/>
    <n v="63489.9"/>
    <n v="1217.76"/>
    <n v="1.96"/>
    <x v="0"/>
    <n v="0.1288"/>
    <n v="0.78"/>
  </r>
  <r>
    <s v="AXE-0065"/>
    <s v="2023-04-30"/>
    <s v="META"/>
    <s v="Meta Platforms"/>
    <x v="0"/>
    <x v="3"/>
    <x v="1"/>
    <n v="346.33"/>
    <n v="366.89"/>
    <n v="1885"/>
    <n v="652832.05000000005"/>
    <n v="691587.65"/>
    <n v="38755.599999999999"/>
    <n v="5.94"/>
    <x v="0"/>
    <n v="0.27860000000000001"/>
    <n v="1.33"/>
  </r>
  <r>
    <s v="AXE-0066"/>
    <s v="2022-06-17"/>
    <s v="NVDA"/>
    <s v="NVIDIA Corp."/>
    <x v="0"/>
    <x v="1"/>
    <x v="0"/>
    <n v="514.62"/>
    <n v="565.24"/>
    <n v="4840"/>
    <n v="2490760.7999999998"/>
    <n v="2735761.6"/>
    <n v="245000.8"/>
    <n v="9.84"/>
    <x v="2"/>
    <n v="0.4113"/>
    <n v="1.75"/>
  </r>
  <r>
    <s v="AXE-0067"/>
    <s v="2022-07-23"/>
    <s v="JNJ"/>
    <s v="J&amp;J"/>
    <x v="2"/>
    <x v="3"/>
    <x v="1"/>
    <n v="145.29"/>
    <n v="206.42"/>
    <n v="2089"/>
    <n v="303510.81"/>
    <n v="431211.38"/>
    <n v="127700.57"/>
    <n v="42.07"/>
    <x v="1"/>
    <n v="0.48559999999999998"/>
    <n v="1.32"/>
  </r>
  <r>
    <s v="AXE-0068"/>
    <s v="2023-08-03"/>
    <s v="NVDA"/>
    <s v="NVIDIA Corp."/>
    <x v="0"/>
    <x v="4"/>
    <x v="1"/>
    <n v="587.11"/>
    <n v="668.95"/>
    <n v="4464"/>
    <n v="2620859.04"/>
    <n v="2986192.8"/>
    <n v="365333.76000000001"/>
    <n v="13.94"/>
    <x v="2"/>
    <n v="0.33760000000000001"/>
    <n v="1.01"/>
  </r>
  <r>
    <s v="AXE-0069"/>
    <s v="2023-05-17"/>
    <s v="LLY"/>
    <s v="Eli Lilly"/>
    <x v="2"/>
    <x v="2"/>
    <x v="1"/>
    <n v="572.37"/>
    <n v="835.71"/>
    <n v="3067"/>
    <n v="1755458.79"/>
    <n v="2563122.5699999998"/>
    <n v="807663.78"/>
    <n v="46.01"/>
    <x v="1"/>
    <n v="0.42409999999999998"/>
    <n v="1.1200000000000001"/>
  </r>
  <r>
    <s v="AXE-0070"/>
    <s v="2023-10-29"/>
    <s v="NFLX"/>
    <s v="Netflix Inc."/>
    <x v="5"/>
    <x v="3"/>
    <x v="0"/>
    <n v="487.08"/>
    <n v="587.13"/>
    <n v="4508"/>
    <n v="2195756.64"/>
    <n v="2646782.04"/>
    <n v="451025.4"/>
    <n v="20.54"/>
    <x v="2"/>
    <n v="0.47510000000000002"/>
    <n v="1.31"/>
  </r>
  <r>
    <s v="AXE-0071"/>
    <s v="2022-09-09"/>
    <s v="CVX"/>
    <s v="Chevron Corp."/>
    <x v="3"/>
    <x v="4"/>
    <x v="1"/>
    <n v="147.71"/>
    <n v="178.03"/>
    <n v="3792"/>
    <n v="560116.31999999995"/>
    <n v="675089.76"/>
    <n v="114973.44"/>
    <n v="20.53"/>
    <x v="2"/>
    <n v="0.38240000000000002"/>
    <n v="1.05"/>
  </r>
  <r>
    <s v="AXE-0072"/>
    <s v="2023-05-22"/>
    <s v="AAPL"/>
    <s v="Apple Inc."/>
    <x v="0"/>
    <x v="0"/>
    <x v="3"/>
    <n v="159.88999999999999"/>
    <n v="230"/>
    <n v="4094"/>
    <n v="654589.66"/>
    <n v="941620"/>
    <n v="287030.34000000003"/>
    <n v="43.85"/>
    <x v="1"/>
    <n v="0.26629999999999998"/>
    <n v="1.66"/>
  </r>
  <r>
    <s v="AXE-0073"/>
    <s v="2023-07-24"/>
    <s v="GS"/>
    <s v="Goldman Sachs"/>
    <x v="4"/>
    <x v="3"/>
    <x v="1"/>
    <n v="332.76"/>
    <n v="460.56"/>
    <n v="1665"/>
    <n v="554045.4"/>
    <n v="766832.4"/>
    <n v="212787"/>
    <n v="38.409999999999997"/>
    <x v="1"/>
    <n v="0.3301"/>
    <n v="1.51"/>
  </r>
  <r>
    <s v="AXE-0074"/>
    <s v="2023-10-24"/>
    <s v="BLK"/>
    <s v="BlackRock"/>
    <x v="4"/>
    <x v="2"/>
    <x v="2"/>
    <n v="684.77"/>
    <n v="494.36"/>
    <n v="241"/>
    <n v="165029.57"/>
    <n v="119140.76"/>
    <n v="-45888.81"/>
    <n v="-27.81"/>
    <x v="1"/>
    <n v="0.41749999999999998"/>
    <n v="0.97"/>
  </r>
  <r>
    <s v="AXE-0075"/>
    <s v="2023-01-13"/>
    <s v="CAT"/>
    <s v="Caterpillar"/>
    <x v="1"/>
    <x v="3"/>
    <x v="2"/>
    <n v="228.75"/>
    <n v="246.7"/>
    <n v="4449"/>
    <n v="1017708.75"/>
    <n v="1097568.3"/>
    <n v="79859.55"/>
    <n v="7.85"/>
    <x v="0"/>
    <n v="0.35670000000000002"/>
    <n v="1.02"/>
  </r>
  <r>
    <s v="AXE-0076"/>
    <s v="2022-10-05"/>
    <s v="PFE"/>
    <s v="Pfizer Inc."/>
    <x v="2"/>
    <x v="4"/>
    <x v="0"/>
    <n v="42.54"/>
    <n v="43.17"/>
    <n v="1988"/>
    <n v="84569.52"/>
    <n v="85821.96"/>
    <n v="1252.44"/>
    <n v="1.48"/>
    <x v="0"/>
    <n v="0.1714"/>
    <n v="1.24"/>
  </r>
  <r>
    <s v="AXE-0077"/>
    <s v="2022-07-16"/>
    <s v="AMZN"/>
    <s v="Amazon.com"/>
    <x v="6"/>
    <x v="2"/>
    <x v="2"/>
    <n v="154.77000000000001"/>
    <n v="165.49"/>
    <n v="2365"/>
    <n v="366031.05"/>
    <n v="391383.85"/>
    <n v="25352.799999999999"/>
    <n v="6.93"/>
    <x v="0"/>
    <n v="0.34560000000000002"/>
    <n v="0.94"/>
  </r>
  <r>
    <s v="AXE-0078"/>
    <s v="2022-07-18"/>
    <s v="NVDA"/>
    <s v="NVIDIA Corp."/>
    <x v="0"/>
    <x v="0"/>
    <x v="0"/>
    <n v="542.29999999999995"/>
    <n v="482.59"/>
    <n v="3056"/>
    <n v="1657268.8"/>
    <n v="1474795.04"/>
    <n v="-182473.76"/>
    <n v="-11.01"/>
    <x v="2"/>
    <n v="0.34970000000000001"/>
    <n v="0.93"/>
  </r>
  <r>
    <s v="AXE-0079"/>
    <s v="2023-07-21"/>
    <s v="MSFT"/>
    <s v="Microsoft Corp."/>
    <x v="0"/>
    <x v="0"/>
    <x v="0"/>
    <n v="281.85000000000002"/>
    <n v="250.45"/>
    <n v="4121"/>
    <n v="1161503.8500000001"/>
    <n v="1032104.45"/>
    <n v="-129399.4"/>
    <n v="-11.14"/>
    <x v="2"/>
    <n v="0.24229999999999999"/>
    <n v="1.17"/>
  </r>
  <r>
    <s v="AXE-0080"/>
    <s v="2022-07-08"/>
    <s v="CVX"/>
    <s v="Chevron Corp."/>
    <x v="3"/>
    <x v="4"/>
    <x v="1"/>
    <n v="141.47999999999999"/>
    <n v="130.97"/>
    <n v="4013"/>
    <n v="567759.24"/>
    <n v="525582.61"/>
    <n v="-42176.63"/>
    <n v="-7.43"/>
    <x v="0"/>
    <n v="0.33150000000000002"/>
    <n v="1.29"/>
  </r>
  <r>
    <s v="AXE-0081"/>
    <s v="2022-06-05"/>
    <s v="MSFT"/>
    <s v="Microsoft Corp."/>
    <x v="0"/>
    <x v="3"/>
    <x v="1"/>
    <n v="280.18"/>
    <n v="295.24"/>
    <n v="2589"/>
    <n v="725386.02"/>
    <n v="764376.36"/>
    <n v="38990.339999999997"/>
    <n v="5.38"/>
    <x v="0"/>
    <n v="0.36"/>
    <n v="1.1000000000000001"/>
  </r>
  <r>
    <s v="AXE-0082"/>
    <s v="2023-09-26"/>
    <s v="MS"/>
    <s v="Morgan Stanley"/>
    <x v="4"/>
    <x v="3"/>
    <x v="2"/>
    <n v="88.66"/>
    <n v="73.02"/>
    <n v="3216"/>
    <n v="285130.56"/>
    <n v="234832.32"/>
    <n v="-50298.239999999998"/>
    <n v="-17.64"/>
    <x v="2"/>
    <n v="0.4899"/>
    <n v="1.79"/>
  </r>
  <r>
    <s v="AXE-0083"/>
    <s v="2023-08-06"/>
    <s v="XOM"/>
    <s v="Exxon Mobil"/>
    <x v="3"/>
    <x v="3"/>
    <x v="1"/>
    <n v="119.1"/>
    <n v="122.13"/>
    <n v="912"/>
    <n v="108619.2"/>
    <n v="111382.56"/>
    <n v="2763.36"/>
    <n v="2.54"/>
    <x v="0"/>
    <n v="0.2107"/>
    <n v="1.39"/>
  </r>
  <r>
    <s v="AXE-0084"/>
    <s v="2022-09-03"/>
    <s v="AMZN"/>
    <s v="Amazon.com"/>
    <x v="6"/>
    <x v="3"/>
    <x v="1"/>
    <n v="130.06"/>
    <n v="151.65"/>
    <n v="714"/>
    <n v="92862.84"/>
    <n v="108278.1"/>
    <n v="15415.26"/>
    <n v="16.600000000000001"/>
    <x v="2"/>
    <n v="0.41639999999999999"/>
    <n v="1.1599999999999999"/>
  </r>
  <r>
    <s v="AXE-0085"/>
    <s v="2022-08-26"/>
    <s v="MSFT"/>
    <s v="Microsoft Corp."/>
    <x v="0"/>
    <x v="4"/>
    <x v="0"/>
    <n v="278.83"/>
    <n v="290.93"/>
    <n v="3819"/>
    <n v="1064851.77"/>
    <n v="1111061.67"/>
    <n v="46209.9"/>
    <n v="4.34"/>
    <x v="0"/>
    <n v="0.23380000000000001"/>
    <n v="1.55"/>
  </r>
  <r>
    <s v="AXE-0086"/>
    <s v="2023-11-09"/>
    <s v="CAT"/>
    <s v="Caterpillar"/>
    <x v="1"/>
    <x v="2"/>
    <x v="2"/>
    <n v="243.21"/>
    <n v="223.25"/>
    <n v="1040"/>
    <n v="252938.4"/>
    <n v="232180"/>
    <n v="-20758.400000000001"/>
    <n v="-8.2100000000000009"/>
    <x v="2"/>
    <n v="0.51060000000000005"/>
    <n v="1.59"/>
  </r>
  <r>
    <s v="AXE-0087"/>
    <s v="2022-03-03"/>
    <s v="GOOGL"/>
    <s v="Alphabet Inc."/>
    <x v="0"/>
    <x v="4"/>
    <x v="1"/>
    <n v="150.46"/>
    <n v="192.35"/>
    <n v="4974"/>
    <n v="748388.04"/>
    <n v="956748.9"/>
    <n v="208360.86"/>
    <n v="27.84"/>
    <x v="1"/>
    <n v="0.24410000000000001"/>
    <n v="0.75"/>
  </r>
  <r>
    <s v="AXE-0088"/>
    <s v="2023-12-18"/>
    <s v="XOM"/>
    <s v="Exxon Mobil"/>
    <x v="3"/>
    <x v="4"/>
    <x v="1"/>
    <n v="106.26"/>
    <n v="126.07"/>
    <n v="4199"/>
    <n v="446185.74"/>
    <n v="529367.93000000005"/>
    <n v="83182.19"/>
    <n v="18.64"/>
    <x v="2"/>
    <n v="0.37719999999999998"/>
    <n v="1.67"/>
  </r>
  <r>
    <s v="AXE-0089"/>
    <s v="2023-09-11"/>
    <s v="CVX"/>
    <s v="Chevron Corp."/>
    <x v="3"/>
    <x v="1"/>
    <x v="0"/>
    <n v="146.99"/>
    <n v="198.73"/>
    <n v="848"/>
    <n v="124647.52"/>
    <n v="168523.04"/>
    <n v="43875.519999999997"/>
    <n v="35.200000000000003"/>
    <x v="1"/>
    <n v="0.49"/>
    <n v="1.3"/>
  </r>
  <r>
    <s v="AXE-0090"/>
    <s v="2023-11-20"/>
    <s v="AAPL"/>
    <s v="Apple Inc."/>
    <x v="0"/>
    <x v="3"/>
    <x v="0"/>
    <n v="188.81"/>
    <n v="189.31"/>
    <n v="429"/>
    <n v="80999.490000000005"/>
    <n v="81213.990000000005"/>
    <n v="214.5"/>
    <n v="0.26"/>
    <x v="0"/>
    <n v="0.34320000000000001"/>
    <n v="1.1299999999999999"/>
  </r>
  <r>
    <s v="AXE-0091"/>
    <s v="2022-07-05"/>
    <s v="GS"/>
    <s v="Goldman Sachs"/>
    <x v="4"/>
    <x v="2"/>
    <x v="1"/>
    <n v="376.58"/>
    <n v="439.03"/>
    <n v="847"/>
    <n v="318963.26"/>
    <n v="371858.41"/>
    <n v="52895.15"/>
    <n v="16.579999999999998"/>
    <x v="2"/>
    <n v="0.2581"/>
    <n v="0.73"/>
  </r>
  <r>
    <s v="AXE-0092"/>
    <s v="2022-12-04"/>
    <s v="AMZN"/>
    <s v="Amazon.com"/>
    <x v="6"/>
    <x v="2"/>
    <x v="1"/>
    <n v="152.07"/>
    <n v="176.45"/>
    <n v="2461"/>
    <n v="374244.27"/>
    <n v="434243.45"/>
    <n v="59999.18"/>
    <n v="16.03"/>
    <x v="2"/>
    <n v="0.44700000000000001"/>
    <n v="0.64"/>
  </r>
  <r>
    <s v="AXE-0093"/>
    <s v="2022-11-19"/>
    <s v="GOOGL"/>
    <s v="Alphabet Inc."/>
    <x v="0"/>
    <x v="4"/>
    <x v="0"/>
    <n v="159.75"/>
    <n v="185.78"/>
    <n v="1049"/>
    <n v="167577.75"/>
    <n v="194883.22"/>
    <n v="27305.47"/>
    <n v="16.29"/>
    <x v="2"/>
    <n v="0.34129999999999999"/>
    <n v="1.79"/>
  </r>
  <r>
    <s v="AXE-0094"/>
    <s v="2023-04-19"/>
    <s v="BA"/>
    <s v="Boeing Co."/>
    <x v="1"/>
    <x v="1"/>
    <x v="1"/>
    <n v="211.16"/>
    <n v="277.85000000000002"/>
    <n v="1636"/>
    <n v="345457.76"/>
    <n v="454562.6"/>
    <n v="109104.84"/>
    <n v="31.58"/>
    <x v="1"/>
    <n v="0.33439999999999998"/>
    <n v="1.1299999999999999"/>
  </r>
  <r>
    <s v="AXE-0095"/>
    <s v="2022-07-28"/>
    <s v="MSFT"/>
    <s v="Microsoft Corp."/>
    <x v="0"/>
    <x v="3"/>
    <x v="0"/>
    <n v="361.06"/>
    <n v="428.46"/>
    <n v="1173"/>
    <n v="423523.38"/>
    <n v="502583.58"/>
    <n v="79060.2"/>
    <n v="18.670000000000002"/>
    <x v="2"/>
    <n v="0.42020000000000002"/>
    <n v="0.75"/>
  </r>
  <r>
    <s v="AXE-0096"/>
    <s v="2022-09-03"/>
    <s v="MS"/>
    <s v="Morgan Stanley"/>
    <x v="4"/>
    <x v="4"/>
    <x v="1"/>
    <n v="76.87"/>
    <n v="89.6"/>
    <n v="4612"/>
    <n v="354524.44"/>
    <n v="413235.20000000001"/>
    <n v="58710.76"/>
    <n v="16.559999999999999"/>
    <x v="2"/>
    <n v="0.21659999999999999"/>
    <n v="1.61"/>
  </r>
  <r>
    <s v="AXE-0097"/>
    <s v="2023-04-18"/>
    <s v="NVDA"/>
    <s v="NVIDIA Corp."/>
    <x v="0"/>
    <x v="0"/>
    <x v="1"/>
    <n v="677.88"/>
    <n v="735.03"/>
    <n v="4182"/>
    <n v="2834894.16"/>
    <n v="3073895.46"/>
    <n v="239001.3"/>
    <n v="8.43"/>
    <x v="2"/>
    <n v="0.42330000000000001"/>
    <n v="1.1000000000000001"/>
  </r>
  <r>
    <s v="AXE-0098"/>
    <s v="2023-04-29"/>
    <s v="BLK"/>
    <s v="BlackRock"/>
    <x v="4"/>
    <x v="2"/>
    <x v="2"/>
    <n v="696.85"/>
    <n v="493.15"/>
    <n v="4615"/>
    <n v="3215962.75"/>
    <n v="2275887.25"/>
    <n v="-940075.5"/>
    <n v="-29.23"/>
    <x v="1"/>
    <n v="0.37769999999999998"/>
    <n v="1.5"/>
  </r>
  <r>
    <s v="AXE-0099"/>
    <s v="2022-03-13"/>
    <s v="META"/>
    <s v="Meta Platforms"/>
    <x v="0"/>
    <x v="2"/>
    <x v="0"/>
    <n v="395.6"/>
    <n v="488.73"/>
    <n v="2884"/>
    <n v="1140910.3999999999"/>
    <n v="1409497.32"/>
    <n v="268586.92"/>
    <n v="23.54"/>
    <x v="1"/>
    <n v="0.4728"/>
    <n v="0.94"/>
  </r>
  <r>
    <s v="AXE-0100"/>
    <s v="2023-08-25"/>
    <s v="XOM"/>
    <s v="Exxon Mobil"/>
    <x v="3"/>
    <x v="0"/>
    <x v="2"/>
    <n v="106.22"/>
    <n v="82.72"/>
    <n v="3758"/>
    <n v="399174.76"/>
    <n v="310861.76"/>
    <n v="-88313"/>
    <n v="-22.12"/>
    <x v="1"/>
    <n v="0.35730000000000001"/>
    <n v="1.25"/>
  </r>
  <r>
    <s v="AXE-0101"/>
    <s v="2022-11-26"/>
    <s v="PFE"/>
    <s v="Pfizer Inc."/>
    <x v="2"/>
    <x v="0"/>
    <x v="2"/>
    <n v="46.31"/>
    <n v="46.95"/>
    <n v="4784"/>
    <n v="221547.04"/>
    <n v="224608.8"/>
    <n v="3061.76"/>
    <n v="1.38"/>
    <x v="0"/>
    <n v="0.29659999999999997"/>
    <n v="0.98"/>
  </r>
  <r>
    <s v="AXE-0102"/>
    <s v="2023-12-24"/>
    <s v="BLK"/>
    <s v="BlackRock"/>
    <x v="4"/>
    <x v="2"/>
    <x v="1"/>
    <n v="778.91"/>
    <n v="705.63"/>
    <n v="1346"/>
    <n v="1048412.86"/>
    <n v="949777.98"/>
    <n v="-98634.880000000005"/>
    <n v="-9.41"/>
    <x v="2"/>
    <n v="0.33600000000000002"/>
    <n v="1.31"/>
  </r>
  <r>
    <s v="AXE-0103"/>
    <s v="2023-03-27"/>
    <s v="NVDA"/>
    <s v="NVIDIA Corp."/>
    <x v="0"/>
    <x v="3"/>
    <x v="1"/>
    <n v="512.76"/>
    <n v="502.97"/>
    <n v="3843"/>
    <n v="1970536.68"/>
    <n v="1932913.71"/>
    <n v="-37622.97"/>
    <n v="-1.91"/>
    <x v="0"/>
    <n v="0.4945"/>
    <n v="1.76"/>
  </r>
  <r>
    <s v="AXE-0104"/>
    <s v="2023-04-26"/>
    <s v="GOOGL"/>
    <s v="Alphabet Inc."/>
    <x v="0"/>
    <x v="4"/>
    <x v="0"/>
    <n v="146.29"/>
    <n v="215.96"/>
    <n v="3356"/>
    <n v="490949.24"/>
    <n v="724761.76"/>
    <n v="233812.52"/>
    <n v="47.62"/>
    <x v="1"/>
    <n v="0.48649999999999999"/>
    <n v="1.63"/>
  </r>
  <r>
    <s v="AXE-0105"/>
    <s v="2022-11-21"/>
    <s v="JNJ"/>
    <s v="J&amp;J"/>
    <x v="2"/>
    <x v="3"/>
    <x v="2"/>
    <n v="170.81"/>
    <n v="124.35"/>
    <n v="394"/>
    <n v="67299.14"/>
    <n v="48993.9"/>
    <n v="-18305.240000000002"/>
    <n v="-27.2"/>
    <x v="1"/>
    <n v="0.4143"/>
    <n v="0.94"/>
  </r>
  <r>
    <s v="AXE-0106"/>
    <s v="2022-04-03"/>
    <s v="JPM"/>
    <s v="JPMorgan Chase"/>
    <x v="4"/>
    <x v="1"/>
    <x v="1"/>
    <n v="152.38"/>
    <n v="208.12"/>
    <n v="923"/>
    <n v="140646.74"/>
    <n v="192094.76"/>
    <n v="51448.02"/>
    <n v="36.58"/>
    <x v="1"/>
    <n v="0.50849999999999995"/>
    <n v="0.66"/>
  </r>
  <r>
    <s v="AXE-0107"/>
    <s v="2022-10-28"/>
    <s v="MSFT"/>
    <s v="Microsoft Corp."/>
    <x v="0"/>
    <x v="4"/>
    <x v="3"/>
    <n v="285.97000000000003"/>
    <n v="357.98"/>
    <n v="3628"/>
    <n v="1037499.16"/>
    <n v="1298751.44"/>
    <n v="261252.28"/>
    <n v="25.18"/>
    <x v="1"/>
    <n v="0.36330000000000001"/>
    <n v="1.55"/>
  </r>
  <r>
    <s v="AXE-0108"/>
    <s v="2022-06-29"/>
    <s v="AMZN"/>
    <s v="Amazon.com"/>
    <x v="6"/>
    <x v="3"/>
    <x v="1"/>
    <n v="150.21"/>
    <n v="157.51"/>
    <n v="3233"/>
    <n v="485628.93"/>
    <n v="509229.83"/>
    <n v="23600.9"/>
    <n v="4.8600000000000003"/>
    <x v="0"/>
    <n v="0.51249999999999996"/>
    <n v="0.77"/>
  </r>
  <r>
    <s v="AXE-0109"/>
    <s v="2023-10-16"/>
    <s v="PFE"/>
    <s v="Pfizer Inc."/>
    <x v="2"/>
    <x v="2"/>
    <x v="0"/>
    <n v="50.4"/>
    <n v="76.069999999999993"/>
    <n v="2191"/>
    <n v="110426.4"/>
    <n v="166669.37"/>
    <n v="56242.97"/>
    <n v="50.93"/>
    <x v="1"/>
    <n v="0.3201"/>
    <n v="0.95"/>
  </r>
  <r>
    <s v="AXE-0110"/>
    <s v="2022-06-11"/>
    <s v="BA"/>
    <s v="Boeing Co."/>
    <x v="1"/>
    <x v="2"/>
    <x v="1"/>
    <n v="240.72"/>
    <n v="262.24"/>
    <n v="2930"/>
    <n v="705309.6"/>
    <n v="768363.2"/>
    <n v="63053.599999999999"/>
    <n v="8.94"/>
    <x v="2"/>
    <n v="0.53369999999999995"/>
    <n v="1.43"/>
  </r>
  <r>
    <s v="AXE-0111"/>
    <s v="2022-11-06"/>
    <s v="PFE"/>
    <s v="Pfizer Inc."/>
    <x v="2"/>
    <x v="2"/>
    <x v="2"/>
    <n v="42.34"/>
    <n v="33.68"/>
    <n v="4058"/>
    <n v="171815.72"/>
    <n v="136673.44"/>
    <n v="-35142.28"/>
    <n v="-20.45"/>
    <x v="2"/>
    <n v="0.27439999999999998"/>
    <n v="0.96"/>
  </r>
  <r>
    <s v="AXE-0112"/>
    <s v="2022-01-23"/>
    <s v="XOM"/>
    <s v="Exxon Mobil"/>
    <x v="3"/>
    <x v="4"/>
    <x v="1"/>
    <n v="107.08"/>
    <n v="145.63999999999999"/>
    <n v="166"/>
    <n v="17775.28"/>
    <n v="24176.240000000002"/>
    <n v="6400.96"/>
    <n v="36.01"/>
    <x v="1"/>
    <n v="0.44019999999999998"/>
    <n v="0.66"/>
  </r>
  <r>
    <s v="AXE-0113"/>
    <s v="2023-05-24"/>
    <s v="MS"/>
    <s v="Morgan Stanley"/>
    <x v="4"/>
    <x v="0"/>
    <x v="0"/>
    <n v="82.41"/>
    <n v="83.49"/>
    <n v="2986"/>
    <n v="246076.26"/>
    <n v="249301.14"/>
    <n v="3224.88"/>
    <n v="1.31"/>
    <x v="0"/>
    <n v="0.2278"/>
    <n v="1.51"/>
  </r>
  <r>
    <s v="AXE-0114"/>
    <s v="2023-10-06"/>
    <s v="META"/>
    <s v="Meta Platforms"/>
    <x v="0"/>
    <x v="1"/>
    <x v="1"/>
    <n v="380.3"/>
    <n v="343.55"/>
    <n v="2630"/>
    <n v="1000189"/>
    <n v="903536.5"/>
    <n v="-96652.5"/>
    <n v="-9.66"/>
    <x v="2"/>
    <n v="0.27689999999999998"/>
    <n v="0.76"/>
  </r>
  <r>
    <s v="AXE-0115"/>
    <s v="2022-12-01"/>
    <s v="XOM"/>
    <s v="Exxon Mobil"/>
    <x v="3"/>
    <x v="0"/>
    <x v="1"/>
    <n v="93.41"/>
    <n v="117.47"/>
    <n v="1744"/>
    <n v="162907.04"/>
    <n v="204867.68"/>
    <n v="41960.639999999999"/>
    <n v="25.76"/>
    <x v="1"/>
    <n v="0.53769999999999996"/>
    <n v="1.24"/>
  </r>
  <r>
    <s v="AXE-0116"/>
    <s v="2022-06-18"/>
    <s v="GS"/>
    <s v="Goldman Sachs"/>
    <x v="4"/>
    <x v="2"/>
    <x v="0"/>
    <n v="408.11"/>
    <n v="455.9"/>
    <n v="2517"/>
    <n v="1027212.87"/>
    <n v="1147500.3"/>
    <n v="120287.43"/>
    <n v="11.71"/>
    <x v="2"/>
    <n v="0.16950000000000001"/>
    <n v="1.76"/>
  </r>
  <r>
    <s v="AXE-0117"/>
    <s v="2022-08-20"/>
    <s v="META"/>
    <s v="Meta Platforms"/>
    <x v="0"/>
    <x v="3"/>
    <x v="1"/>
    <n v="306.98"/>
    <n v="354.93"/>
    <n v="3096"/>
    <n v="950410.08"/>
    <n v="1098863.28"/>
    <n v="148453.20000000001"/>
    <n v="15.62"/>
    <x v="2"/>
    <n v="0.23369999999999999"/>
    <n v="0.75"/>
  </r>
  <r>
    <s v="AXE-0118"/>
    <s v="2023-11-20"/>
    <s v="OXY"/>
    <s v="Occidental Pet."/>
    <x v="3"/>
    <x v="3"/>
    <x v="0"/>
    <n v="71.290000000000006"/>
    <n v="109.66"/>
    <n v="3221"/>
    <n v="229625.09"/>
    <n v="353214.86"/>
    <n v="123589.77"/>
    <n v="53.82"/>
    <x v="1"/>
    <n v="0.1666"/>
    <n v="0.88"/>
  </r>
  <r>
    <s v="AXE-0119"/>
    <s v="2023-09-27"/>
    <s v="AAPL"/>
    <s v="Apple Inc."/>
    <x v="0"/>
    <x v="3"/>
    <x v="3"/>
    <n v="182.75"/>
    <n v="242.1"/>
    <n v="1913"/>
    <n v="349600.75"/>
    <n v="463137.3"/>
    <n v="113536.55"/>
    <n v="32.479999999999997"/>
    <x v="1"/>
    <n v="0.3196"/>
    <n v="1.44"/>
  </r>
  <r>
    <s v="AXE-0120"/>
    <s v="2022-04-30"/>
    <s v="LLY"/>
    <s v="Eli Lilly"/>
    <x v="2"/>
    <x v="1"/>
    <x v="1"/>
    <n v="517.72"/>
    <n v="634.12"/>
    <n v="404"/>
    <n v="209158.88"/>
    <n v="256184.48"/>
    <n v="47025.599999999999"/>
    <n v="22.48"/>
    <x v="1"/>
    <n v="0.1618"/>
    <n v="1.66"/>
  </r>
  <r>
    <s v="AXE-0121"/>
    <s v="2023-02-02"/>
    <s v="META"/>
    <s v="Meta Platforms"/>
    <x v="0"/>
    <x v="4"/>
    <x v="2"/>
    <n v="341.51"/>
    <n v="328.34"/>
    <n v="4525"/>
    <n v="1545332.75"/>
    <n v="1485738.5"/>
    <n v="-59594.25"/>
    <n v="-3.86"/>
    <x v="0"/>
    <n v="0.18640000000000001"/>
    <n v="1.1000000000000001"/>
  </r>
  <r>
    <s v="AXE-0122"/>
    <s v="2023-05-17"/>
    <s v="NVDA"/>
    <s v="NVIDIA Corp."/>
    <x v="0"/>
    <x v="4"/>
    <x v="1"/>
    <n v="634.25"/>
    <n v="654.6"/>
    <n v="368"/>
    <n v="233404"/>
    <n v="240892.79999999999"/>
    <n v="7488.8"/>
    <n v="3.21"/>
    <x v="0"/>
    <n v="0.31119999999999998"/>
    <n v="0.88"/>
  </r>
  <r>
    <s v="AXE-0123"/>
    <s v="2022-04-12"/>
    <s v="OXY"/>
    <s v="Occidental Pet."/>
    <x v="3"/>
    <x v="3"/>
    <x v="3"/>
    <n v="56.43"/>
    <n v="60.56"/>
    <n v="3038"/>
    <n v="171434.34"/>
    <n v="183981.28"/>
    <n v="12546.94"/>
    <n v="7.32"/>
    <x v="0"/>
    <n v="0.5363"/>
    <n v="1.74"/>
  </r>
  <r>
    <s v="AXE-0124"/>
    <s v="2022-04-04"/>
    <s v="PFE"/>
    <s v="Pfizer Inc."/>
    <x v="2"/>
    <x v="3"/>
    <x v="2"/>
    <n v="41.53"/>
    <n v="32.119999999999997"/>
    <n v="274"/>
    <n v="11379.22"/>
    <n v="8800.8799999999992"/>
    <n v="-2578.34"/>
    <n v="-22.66"/>
    <x v="1"/>
    <n v="0.54520000000000002"/>
    <n v="1.54"/>
  </r>
  <r>
    <s v="AXE-0125"/>
    <s v="2022-03-12"/>
    <s v="TSLA"/>
    <s v="Tesla Inc."/>
    <x v="6"/>
    <x v="3"/>
    <x v="2"/>
    <n v="240.66"/>
    <n v="175"/>
    <n v="1869"/>
    <n v="449793.54"/>
    <n v="327075"/>
    <n v="-122718.54"/>
    <n v="-27.28"/>
    <x v="1"/>
    <n v="0.45300000000000001"/>
    <n v="1.55"/>
  </r>
  <r>
    <s v="AXE-0126"/>
    <s v="2022-01-03"/>
    <s v="MS"/>
    <s v="Morgan Stanley"/>
    <x v="4"/>
    <x v="0"/>
    <x v="0"/>
    <n v="91.09"/>
    <n v="131.07"/>
    <n v="1164"/>
    <n v="106028.76"/>
    <n v="152565.48000000001"/>
    <n v="46536.72"/>
    <n v="43.89"/>
    <x v="1"/>
    <n v="0.1673"/>
    <n v="1.64"/>
  </r>
  <r>
    <s v="AXE-0127"/>
    <s v="2022-01-16"/>
    <s v="META"/>
    <s v="Meta Platforms"/>
    <x v="0"/>
    <x v="0"/>
    <x v="3"/>
    <n v="331.5"/>
    <n v="332.15"/>
    <n v="4923"/>
    <n v="1631974.5"/>
    <n v="1635174.45"/>
    <n v="3199.95"/>
    <n v="0.2"/>
    <x v="0"/>
    <n v="0.14249999999999999"/>
    <n v="1.49"/>
  </r>
  <r>
    <s v="AXE-0128"/>
    <s v="2022-04-27"/>
    <s v="NFLX"/>
    <s v="Netflix Inc."/>
    <x v="5"/>
    <x v="2"/>
    <x v="1"/>
    <n v="487.53"/>
    <n v="604.17999999999995"/>
    <n v="3772"/>
    <n v="1838963.16"/>
    <n v="2278966.96"/>
    <n v="440003.8"/>
    <n v="23.93"/>
    <x v="1"/>
    <n v="0.16689999999999999"/>
    <n v="1.2"/>
  </r>
  <r>
    <s v="AXE-0129"/>
    <s v="2022-02-14"/>
    <s v="MS"/>
    <s v="Morgan Stanley"/>
    <x v="4"/>
    <x v="2"/>
    <x v="0"/>
    <n v="78.14"/>
    <n v="94.96"/>
    <n v="355"/>
    <n v="27739.7"/>
    <n v="33710.800000000003"/>
    <n v="5971.1"/>
    <n v="21.53"/>
    <x v="2"/>
    <n v="0.29270000000000002"/>
    <n v="1.42"/>
  </r>
  <r>
    <s v="AXE-0130"/>
    <s v="2023-12-31"/>
    <s v="BLK"/>
    <s v="BlackRock"/>
    <x v="4"/>
    <x v="1"/>
    <x v="2"/>
    <n v="738.37"/>
    <n v="508.17"/>
    <n v="761"/>
    <n v="561899.56999999995"/>
    <n v="386717.37"/>
    <n v="-175182.2"/>
    <n v="-31.18"/>
    <x v="1"/>
    <n v="0.17430000000000001"/>
    <n v="1.35"/>
  </r>
  <r>
    <s v="AXE-0131"/>
    <s v="2023-07-16"/>
    <s v="CAT"/>
    <s v="Caterpillar"/>
    <x v="1"/>
    <x v="2"/>
    <x v="3"/>
    <n v="242.2"/>
    <n v="290.06"/>
    <n v="4993"/>
    <n v="1209304.6000000001"/>
    <n v="1448269.58"/>
    <n v="238964.98"/>
    <n v="19.760000000000002"/>
    <x v="2"/>
    <n v="0.38030000000000003"/>
    <n v="0.72"/>
  </r>
  <r>
    <s v="AXE-0132"/>
    <s v="2023-11-02"/>
    <s v="NVDA"/>
    <s v="NVIDIA Corp."/>
    <x v="0"/>
    <x v="2"/>
    <x v="2"/>
    <n v="669.86"/>
    <n v="542.82000000000005"/>
    <n v="3799"/>
    <n v="2544798.14"/>
    <n v="2062173.18"/>
    <n v="-482624.96"/>
    <n v="-18.97"/>
    <x v="2"/>
    <n v="0.4758"/>
    <n v="1.08"/>
  </r>
  <r>
    <s v="AXE-0133"/>
    <s v="2022-11-17"/>
    <s v="NVDA"/>
    <s v="NVIDIA Corp."/>
    <x v="0"/>
    <x v="4"/>
    <x v="1"/>
    <n v="577.37"/>
    <n v="569.78"/>
    <n v="2188"/>
    <n v="1263285.56"/>
    <n v="1246678.6399999999"/>
    <n v="-16606.919999999998"/>
    <n v="-1.31"/>
    <x v="0"/>
    <n v="0.51690000000000003"/>
    <n v="0.68"/>
  </r>
  <r>
    <s v="AXE-0134"/>
    <s v="2022-04-06"/>
    <s v="GOOGL"/>
    <s v="Alphabet Inc."/>
    <x v="0"/>
    <x v="1"/>
    <x v="1"/>
    <n v="153.09"/>
    <n v="194.34"/>
    <n v="3152"/>
    <n v="482539.68"/>
    <n v="612559.68000000005"/>
    <n v="130020"/>
    <n v="26.94"/>
    <x v="1"/>
    <n v="0.37219999999999998"/>
    <n v="1.27"/>
  </r>
  <r>
    <s v="AXE-0135"/>
    <s v="2023-11-18"/>
    <s v="CVX"/>
    <s v="Chevron Corp."/>
    <x v="3"/>
    <x v="2"/>
    <x v="1"/>
    <n v="177.93"/>
    <n v="273.8"/>
    <n v="2996"/>
    <n v="533078.28"/>
    <n v="820304.8"/>
    <n v="287226.52"/>
    <n v="53.88"/>
    <x v="1"/>
    <n v="0.3019"/>
    <n v="1.7"/>
  </r>
  <r>
    <s v="AXE-0136"/>
    <s v="2022-10-22"/>
    <s v="MSFT"/>
    <s v="Microsoft Corp."/>
    <x v="0"/>
    <x v="4"/>
    <x v="0"/>
    <n v="327.48"/>
    <n v="336.95"/>
    <n v="948"/>
    <n v="310451.03999999998"/>
    <n v="319428.59999999998"/>
    <n v="8977.56"/>
    <n v="2.89"/>
    <x v="0"/>
    <n v="0.40239999999999998"/>
    <n v="0.87"/>
  </r>
  <r>
    <s v="AXE-0137"/>
    <s v="2022-12-25"/>
    <s v="NVDA"/>
    <s v="NVIDIA Corp."/>
    <x v="0"/>
    <x v="1"/>
    <x v="3"/>
    <n v="613.34"/>
    <n v="886.31"/>
    <n v="2382"/>
    <n v="1460975.88"/>
    <n v="2111190.42"/>
    <n v="650214.54"/>
    <n v="44.51"/>
    <x v="1"/>
    <n v="0.4834"/>
    <n v="1.77"/>
  </r>
  <r>
    <s v="AXE-0138"/>
    <s v="2023-09-21"/>
    <s v="MS"/>
    <s v="Morgan Stanley"/>
    <x v="4"/>
    <x v="3"/>
    <x v="1"/>
    <n v="77.28"/>
    <n v="82.79"/>
    <n v="2290"/>
    <n v="176971.2"/>
    <n v="189589.1"/>
    <n v="12617.9"/>
    <n v="7.13"/>
    <x v="0"/>
    <n v="0.44779999999999998"/>
    <n v="1.71"/>
  </r>
  <r>
    <s v="AXE-0139"/>
    <s v="2022-01-07"/>
    <s v="OXY"/>
    <s v="Occidental Pet."/>
    <x v="3"/>
    <x v="0"/>
    <x v="1"/>
    <n v="68.069999999999993"/>
    <n v="63.22"/>
    <n v="4739"/>
    <n v="322583.73"/>
    <n v="299599.58"/>
    <n v="-22984.15"/>
    <n v="-7.13"/>
    <x v="0"/>
    <n v="0.43859999999999999"/>
    <n v="1.77"/>
  </r>
  <r>
    <s v="AXE-0140"/>
    <s v="2023-06-28"/>
    <s v="GOOGL"/>
    <s v="Alphabet Inc."/>
    <x v="0"/>
    <x v="2"/>
    <x v="2"/>
    <n v="138.05000000000001"/>
    <n v="95.59"/>
    <n v="3539"/>
    <n v="488558.95"/>
    <n v="338293.01"/>
    <n v="-150265.94"/>
    <n v="-30.76"/>
    <x v="1"/>
    <n v="0.254"/>
    <n v="0.99"/>
  </r>
  <r>
    <s v="AXE-0141"/>
    <s v="2023-09-03"/>
    <s v="CAT"/>
    <s v="Caterpillar"/>
    <x v="1"/>
    <x v="1"/>
    <x v="1"/>
    <n v="215.33"/>
    <n v="282.62"/>
    <n v="1374"/>
    <n v="295863.42"/>
    <n v="388319.88"/>
    <n v="92456.46"/>
    <n v="31.25"/>
    <x v="1"/>
    <n v="0.4098"/>
    <n v="0.93"/>
  </r>
  <r>
    <s v="AXE-0142"/>
    <s v="2023-05-13"/>
    <s v="LLY"/>
    <s v="Eli Lilly"/>
    <x v="2"/>
    <x v="2"/>
    <x v="2"/>
    <n v="503.07"/>
    <n v="430.47"/>
    <n v="2337"/>
    <n v="1175674.5900000001"/>
    <n v="1006008.39"/>
    <n v="-169666.2"/>
    <n v="-14.43"/>
    <x v="2"/>
    <n v="0.26840000000000003"/>
    <n v="0.73"/>
  </r>
  <r>
    <s v="AXE-0143"/>
    <s v="2023-05-14"/>
    <s v="CAT"/>
    <s v="Caterpillar"/>
    <x v="1"/>
    <x v="1"/>
    <x v="0"/>
    <n v="232.46"/>
    <n v="302.08999999999997"/>
    <n v="1906"/>
    <n v="443068.76"/>
    <n v="575783.54"/>
    <n v="132714.78"/>
    <n v="29.95"/>
    <x v="1"/>
    <n v="0.12330000000000001"/>
    <n v="0.96"/>
  </r>
  <r>
    <s v="AXE-0144"/>
    <s v="2022-05-21"/>
    <s v="TSLA"/>
    <s v="Tesla Inc."/>
    <x v="6"/>
    <x v="4"/>
    <x v="0"/>
    <n v="194.92"/>
    <n v="239.39"/>
    <n v="2787"/>
    <n v="543242.04"/>
    <n v="667179.93000000005"/>
    <n v="123937.89"/>
    <n v="22.81"/>
    <x v="1"/>
    <n v="0.30520000000000003"/>
    <n v="0.76"/>
  </r>
  <r>
    <s v="AXE-0145"/>
    <s v="2023-12-22"/>
    <s v="BA"/>
    <s v="Boeing Co."/>
    <x v="1"/>
    <x v="3"/>
    <x v="2"/>
    <n v="231"/>
    <n v="228.89"/>
    <n v="4677"/>
    <n v="1080387"/>
    <n v="1070518.53"/>
    <n v="-9868.4699999999993"/>
    <n v="-0.91"/>
    <x v="0"/>
    <n v="0.151"/>
    <n v="1.63"/>
  </r>
  <r>
    <s v="AXE-0146"/>
    <s v="2023-03-23"/>
    <s v="MSFT"/>
    <s v="Microsoft Corp."/>
    <x v="0"/>
    <x v="2"/>
    <x v="1"/>
    <n v="354.76"/>
    <n v="455.17"/>
    <n v="737"/>
    <n v="261458.12"/>
    <n v="335460.28999999998"/>
    <n v="74002.17"/>
    <n v="28.3"/>
    <x v="1"/>
    <n v="0.36659999999999998"/>
    <n v="1.45"/>
  </r>
  <r>
    <s v="AXE-0147"/>
    <s v="2022-10-24"/>
    <s v="LLY"/>
    <s v="Eli Lilly"/>
    <x v="2"/>
    <x v="2"/>
    <x v="1"/>
    <n v="626.91999999999996"/>
    <n v="627.12"/>
    <n v="270"/>
    <n v="169268.4"/>
    <n v="169322.4"/>
    <n v="54"/>
    <n v="0.03"/>
    <x v="0"/>
    <n v="0.52749999999999997"/>
    <n v="1.1499999999999999"/>
  </r>
  <r>
    <s v="AXE-0148"/>
    <s v="2022-04-01"/>
    <s v="OXY"/>
    <s v="Occidental Pet."/>
    <x v="3"/>
    <x v="1"/>
    <x v="1"/>
    <n v="63.75"/>
    <n v="73.97"/>
    <n v="2093"/>
    <n v="133428.75"/>
    <n v="154819.21"/>
    <n v="21390.46"/>
    <n v="16.03"/>
    <x v="2"/>
    <n v="0.15379999999999999"/>
    <n v="1.64"/>
  </r>
  <r>
    <s v="AXE-0149"/>
    <s v="2022-08-15"/>
    <s v="CVX"/>
    <s v="Chevron Corp."/>
    <x v="3"/>
    <x v="0"/>
    <x v="3"/>
    <n v="160.5"/>
    <n v="154.05000000000001"/>
    <n v="725"/>
    <n v="116362.5"/>
    <n v="111686.25"/>
    <n v="-4676.25"/>
    <n v="-4.0199999999999996"/>
    <x v="0"/>
    <n v="0.33929999999999999"/>
    <n v="1.69"/>
  </r>
  <r>
    <s v="AXE-0150"/>
    <s v="2022-12-26"/>
    <s v="OXY"/>
    <s v="Occidental Pet."/>
    <x v="3"/>
    <x v="0"/>
    <x v="1"/>
    <n v="58.11"/>
    <n v="59.16"/>
    <n v="942"/>
    <n v="54739.62"/>
    <n v="55728.72"/>
    <n v="989.1"/>
    <n v="1.81"/>
    <x v="0"/>
    <n v="0.379"/>
    <n v="1.51"/>
  </r>
  <r>
    <s v="AXE-0151"/>
    <s v="2022-07-01"/>
    <s v="GOOGL"/>
    <s v="Alphabet Inc."/>
    <x v="0"/>
    <x v="2"/>
    <x v="2"/>
    <n v="150.91"/>
    <n v="124.73"/>
    <n v="4718"/>
    <n v="711993.38"/>
    <n v="588476.14"/>
    <n v="-123517.24"/>
    <n v="-17.350000000000001"/>
    <x v="2"/>
    <n v="0.51739999999999997"/>
    <n v="1.28"/>
  </r>
  <r>
    <s v="AXE-0152"/>
    <s v="2022-11-27"/>
    <s v="MS"/>
    <s v="Morgan Stanley"/>
    <x v="4"/>
    <x v="0"/>
    <x v="3"/>
    <n v="78.34"/>
    <n v="93.19"/>
    <n v="3702"/>
    <n v="290014.68"/>
    <n v="344989.38"/>
    <n v="54974.7"/>
    <n v="18.96"/>
    <x v="2"/>
    <n v="0.25019999999999998"/>
    <n v="0.93"/>
  </r>
  <r>
    <s v="AXE-0153"/>
    <s v="2022-12-27"/>
    <s v="MSFT"/>
    <s v="Microsoft Corp."/>
    <x v="0"/>
    <x v="4"/>
    <x v="1"/>
    <n v="315.38"/>
    <n v="290.08999999999997"/>
    <n v="3882"/>
    <n v="1224305.1599999999"/>
    <n v="1126129.3799999999"/>
    <n v="-98175.78"/>
    <n v="-8.02"/>
    <x v="2"/>
    <n v="0.47760000000000002"/>
    <n v="0.69"/>
  </r>
  <r>
    <s v="AXE-0154"/>
    <s v="2023-09-22"/>
    <s v="GOOGL"/>
    <s v="Alphabet Inc."/>
    <x v="0"/>
    <x v="2"/>
    <x v="1"/>
    <n v="142.28"/>
    <n v="204.07"/>
    <n v="4854"/>
    <n v="690627.12"/>
    <n v="990555.78"/>
    <n v="299928.65999999997"/>
    <n v="43.43"/>
    <x v="1"/>
    <n v="0.50519999999999998"/>
    <n v="1.1399999999999999"/>
  </r>
  <r>
    <s v="AXE-0155"/>
    <s v="2023-10-30"/>
    <s v="CAT"/>
    <s v="Caterpillar"/>
    <x v="1"/>
    <x v="4"/>
    <x v="2"/>
    <n v="240.1"/>
    <n v="254.64"/>
    <n v="3996"/>
    <n v="959439.6"/>
    <n v="1017541.44"/>
    <n v="58101.84"/>
    <n v="6.06"/>
    <x v="0"/>
    <n v="0.31369999999999998"/>
    <n v="1.57"/>
  </r>
  <r>
    <s v="AXE-0156"/>
    <s v="2022-03-28"/>
    <s v="CVX"/>
    <s v="Chevron Corp."/>
    <x v="3"/>
    <x v="1"/>
    <x v="1"/>
    <n v="169.97"/>
    <n v="267.48"/>
    <n v="2129"/>
    <n v="361866.13"/>
    <n v="569464.92000000004"/>
    <n v="207598.79"/>
    <n v="57.37"/>
    <x v="1"/>
    <n v="0.3453"/>
    <n v="1.33"/>
  </r>
  <r>
    <s v="AXE-0157"/>
    <s v="2023-01-17"/>
    <s v="OXY"/>
    <s v="Occidental Pet."/>
    <x v="3"/>
    <x v="2"/>
    <x v="0"/>
    <n v="70.349999999999994"/>
    <n v="95.34"/>
    <n v="3448"/>
    <n v="242566.8"/>
    <n v="328732.32"/>
    <n v="86165.52"/>
    <n v="35.520000000000003"/>
    <x v="1"/>
    <n v="0.14249999999999999"/>
    <n v="1.36"/>
  </r>
  <r>
    <s v="AXE-0158"/>
    <s v="2022-03-09"/>
    <s v="CVX"/>
    <s v="Chevron Corp."/>
    <x v="3"/>
    <x v="1"/>
    <x v="3"/>
    <n v="168.56"/>
    <n v="181.86"/>
    <n v="4670"/>
    <n v="787175.2"/>
    <n v="849286.2"/>
    <n v="62111"/>
    <n v="7.89"/>
    <x v="0"/>
    <n v="0.43120000000000003"/>
    <n v="1.39"/>
  </r>
  <r>
    <s v="AXE-0159"/>
    <s v="2022-06-03"/>
    <s v="MS"/>
    <s v="Morgan Stanley"/>
    <x v="4"/>
    <x v="1"/>
    <x v="3"/>
    <n v="94.42"/>
    <n v="143.68"/>
    <n v="4873"/>
    <n v="460108.66"/>
    <n v="700152.64"/>
    <n v="240043.98"/>
    <n v="52.17"/>
    <x v="1"/>
    <n v="0.25340000000000001"/>
    <n v="1.39"/>
  </r>
  <r>
    <s v="AXE-0160"/>
    <s v="2022-05-13"/>
    <s v="JNJ"/>
    <s v="J&amp;J"/>
    <x v="2"/>
    <x v="4"/>
    <x v="1"/>
    <n v="158.9"/>
    <n v="227.89"/>
    <n v="4678"/>
    <n v="743334.2"/>
    <n v="1066069.42"/>
    <n v="322735.21999999997"/>
    <n v="43.42"/>
    <x v="1"/>
    <n v="0.46970000000000001"/>
    <n v="1.4"/>
  </r>
  <r>
    <s v="AXE-0161"/>
    <s v="2022-04-06"/>
    <s v="NFLX"/>
    <s v="Netflix Inc."/>
    <x v="5"/>
    <x v="3"/>
    <x v="1"/>
    <n v="384.96"/>
    <n v="422"/>
    <n v="3064"/>
    <n v="1179517.4399999999"/>
    <n v="1293008"/>
    <n v="113490.56"/>
    <n v="9.6199999999999992"/>
    <x v="2"/>
    <n v="0.52900000000000003"/>
    <n v="1.01"/>
  </r>
  <r>
    <s v="AXE-0162"/>
    <s v="2022-07-16"/>
    <s v="BLK"/>
    <s v="BlackRock"/>
    <x v="4"/>
    <x v="0"/>
    <x v="2"/>
    <n v="681.06"/>
    <n v="686.81"/>
    <n v="1369"/>
    <n v="932371.14"/>
    <n v="940242.89"/>
    <n v="7871.75"/>
    <n v="0.84"/>
    <x v="0"/>
    <n v="0.16350000000000001"/>
    <n v="1.53"/>
  </r>
  <r>
    <s v="AXE-0163"/>
    <s v="2022-02-08"/>
    <s v="NFLX"/>
    <s v="Netflix Inc."/>
    <x v="5"/>
    <x v="3"/>
    <x v="3"/>
    <n v="463.13"/>
    <n v="457.56"/>
    <n v="1173"/>
    <n v="543251.49"/>
    <n v="536717.88"/>
    <n v="-6533.61"/>
    <n v="-1.2"/>
    <x v="0"/>
    <n v="0.1978"/>
    <n v="1.43"/>
  </r>
  <r>
    <s v="AXE-0164"/>
    <s v="2022-06-19"/>
    <s v="MS"/>
    <s v="Morgan Stanley"/>
    <x v="4"/>
    <x v="1"/>
    <x v="2"/>
    <n v="86.34"/>
    <n v="82.11"/>
    <n v="3465"/>
    <n v="299168.09999999998"/>
    <n v="284511.15000000002"/>
    <n v="-14656.95"/>
    <n v="-4.9000000000000004"/>
    <x v="0"/>
    <n v="0.53690000000000004"/>
    <n v="1.33"/>
  </r>
  <r>
    <s v="AXE-0165"/>
    <s v="2022-08-28"/>
    <s v="PFE"/>
    <s v="Pfizer Inc."/>
    <x v="2"/>
    <x v="4"/>
    <x v="2"/>
    <n v="53.82"/>
    <n v="38.17"/>
    <n v="3942"/>
    <n v="212158.44"/>
    <n v="150466.14000000001"/>
    <n v="-61692.3"/>
    <n v="-29.08"/>
    <x v="1"/>
    <n v="0.41170000000000001"/>
    <n v="1.28"/>
  </r>
  <r>
    <s v="AXE-0166"/>
    <s v="2023-04-18"/>
    <s v="PFE"/>
    <s v="Pfizer Inc."/>
    <x v="2"/>
    <x v="2"/>
    <x v="0"/>
    <n v="48.4"/>
    <n v="75.33"/>
    <n v="4219"/>
    <n v="204199.6"/>
    <n v="317817.27"/>
    <n v="113617.67"/>
    <n v="55.64"/>
    <x v="1"/>
    <n v="0.4713"/>
    <n v="1.56"/>
  </r>
  <r>
    <s v="AXE-0167"/>
    <s v="2022-09-14"/>
    <s v="META"/>
    <s v="Meta Platforms"/>
    <x v="0"/>
    <x v="2"/>
    <x v="1"/>
    <n v="355.73"/>
    <n v="338.59"/>
    <n v="3140"/>
    <n v="1116992.2"/>
    <n v="1063172.6000000001"/>
    <n v="-53819.6"/>
    <n v="-4.82"/>
    <x v="0"/>
    <n v="0.48370000000000002"/>
    <n v="1.62"/>
  </r>
  <r>
    <s v="AXE-0168"/>
    <s v="2022-03-27"/>
    <s v="XOM"/>
    <s v="Exxon Mobil"/>
    <x v="3"/>
    <x v="4"/>
    <x v="1"/>
    <n v="117.77"/>
    <n v="115.78"/>
    <n v="3780"/>
    <n v="445170.6"/>
    <n v="437648.4"/>
    <n v="-7522.2"/>
    <n v="-1.69"/>
    <x v="0"/>
    <n v="0.30809999999999998"/>
    <n v="1.74"/>
  </r>
  <r>
    <s v="AXE-0169"/>
    <s v="2023-04-07"/>
    <s v="JPM"/>
    <s v="JPMorgan Chase"/>
    <x v="4"/>
    <x v="1"/>
    <x v="3"/>
    <n v="134.22999999999999"/>
    <n v="165.29"/>
    <n v="3498"/>
    <n v="469536.54"/>
    <n v="578184.42000000004"/>
    <n v="108647.88"/>
    <n v="23.14"/>
    <x v="1"/>
    <n v="0.22140000000000001"/>
    <n v="1.79"/>
  </r>
  <r>
    <s v="AXE-0170"/>
    <s v="2022-08-18"/>
    <s v="OXY"/>
    <s v="Occidental Pet."/>
    <x v="3"/>
    <x v="4"/>
    <x v="1"/>
    <n v="71.61"/>
    <n v="95.6"/>
    <n v="911"/>
    <n v="65236.71"/>
    <n v="87091.6"/>
    <n v="21854.89"/>
    <n v="33.5"/>
    <x v="1"/>
    <n v="0.46029999999999999"/>
    <n v="0.77"/>
  </r>
  <r>
    <s v="AXE-0171"/>
    <s v="2023-04-29"/>
    <s v="XOM"/>
    <s v="Exxon Mobil"/>
    <x v="3"/>
    <x v="2"/>
    <x v="1"/>
    <n v="108.63"/>
    <n v="164.48"/>
    <n v="3774"/>
    <n v="409969.62"/>
    <n v="620747.52000000002"/>
    <n v="210777.9"/>
    <n v="51.41"/>
    <x v="1"/>
    <n v="0.12820000000000001"/>
    <n v="0.86"/>
  </r>
  <r>
    <s v="AXE-0172"/>
    <s v="2023-07-16"/>
    <s v="META"/>
    <s v="Meta Platforms"/>
    <x v="0"/>
    <x v="1"/>
    <x v="1"/>
    <n v="322.45"/>
    <n v="311.26"/>
    <n v="2460"/>
    <n v="793227"/>
    <n v="765699.6"/>
    <n v="-27527.4"/>
    <n v="-3.47"/>
    <x v="0"/>
    <n v="0.2225"/>
    <n v="1.37"/>
  </r>
  <r>
    <s v="AXE-0173"/>
    <s v="2023-04-14"/>
    <s v="MS"/>
    <s v="Morgan Stanley"/>
    <x v="4"/>
    <x v="1"/>
    <x v="1"/>
    <n v="92.61"/>
    <n v="82.56"/>
    <n v="4194"/>
    <n v="388406.34"/>
    <n v="346256.64000000001"/>
    <n v="-42149.7"/>
    <n v="-10.85"/>
    <x v="2"/>
    <n v="0.34160000000000001"/>
    <n v="0.89"/>
  </r>
  <r>
    <s v="AXE-0174"/>
    <s v="2022-10-26"/>
    <s v="META"/>
    <s v="Meta Platforms"/>
    <x v="0"/>
    <x v="1"/>
    <x v="1"/>
    <n v="322.76"/>
    <n v="378.14"/>
    <n v="2990"/>
    <n v="965052.4"/>
    <n v="1130638.6000000001"/>
    <n v="165586.20000000001"/>
    <n v="17.16"/>
    <x v="2"/>
    <n v="0.40570000000000001"/>
    <n v="0.7"/>
  </r>
  <r>
    <s v="AXE-0175"/>
    <s v="2022-03-11"/>
    <s v="OXY"/>
    <s v="Occidental Pet."/>
    <x v="3"/>
    <x v="2"/>
    <x v="1"/>
    <n v="56.1"/>
    <n v="64.56"/>
    <n v="3951"/>
    <n v="221651.1"/>
    <n v="255076.56"/>
    <n v="33425.46"/>
    <n v="15.08"/>
    <x v="2"/>
    <n v="0.28050000000000003"/>
    <n v="1.5"/>
  </r>
  <r>
    <s v="AXE-0176"/>
    <s v="2022-03-11"/>
    <s v="OXY"/>
    <s v="Occidental Pet."/>
    <x v="3"/>
    <x v="0"/>
    <x v="3"/>
    <n v="70.290000000000006"/>
    <n v="98.03"/>
    <n v="949"/>
    <n v="66705.210000000006"/>
    <n v="93030.47"/>
    <n v="26325.26"/>
    <n v="39.47"/>
    <x v="1"/>
    <n v="0.26300000000000001"/>
    <n v="0.65"/>
  </r>
  <r>
    <s v="AXE-0177"/>
    <s v="2022-12-13"/>
    <s v="BA"/>
    <s v="Boeing Co."/>
    <x v="1"/>
    <x v="2"/>
    <x v="1"/>
    <n v="218.3"/>
    <n v="316.11"/>
    <n v="4020"/>
    <n v="877566"/>
    <n v="1270762.2"/>
    <n v="393196.2"/>
    <n v="44.81"/>
    <x v="1"/>
    <n v="0.14710000000000001"/>
    <n v="1.53"/>
  </r>
  <r>
    <s v="AXE-0178"/>
    <s v="2022-02-07"/>
    <s v="PFE"/>
    <s v="Pfizer Inc."/>
    <x v="2"/>
    <x v="0"/>
    <x v="0"/>
    <n v="52.19"/>
    <n v="78.290000000000006"/>
    <n v="458"/>
    <n v="23903.02"/>
    <n v="35856.82"/>
    <n v="11953.8"/>
    <n v="50.01"/>
    <x v="1"/>
    <n v="0.25569999999999998"/>
    <n v="0.97"/>
  </r>
  <r>
    <s v="AXE-0179"/>
    <s v="2023-07-11"/>
    <s v="JNJ"/>
    <s v="J&amp;J"/>
    <x v="2"/>
    <x v="4"/>
    <x v="2"/>
    <n v="177.54"/>
    <n v="125.68"/>
    <n v="399"/>
    <n v="70838.460000000006"/>
    <n v="50146.32"/>
    <n v="-20692.14"/>
    <n v="-29.21"/>
    <x v="1"/>
    <n v="0.27350000000000002"/>
    <n v="1.54"/>
  </r>
  <r>
    <s v="AXE-0180"/>
    <s v="2022-10-07"/>
    <s v="CVX"/>
    <s v="Chevron Corp."/>
    <x v="3"/>
    <x v="4"/>
    <x v="1"/>
    <n v="178.7"/>
    <n v="250.24"/>
    <n v="3679"/>
    <n v="657437.30000000005"/>
    <n v="920632.96"/>
    <n v="263195.65999999997"/>
    <n v="40.03"/>
    <x v="1"/>
    <n v="0.50470000000000004"/>
    <n v="1.06"/>
  </r>
  <r>
    <s v="AXE-0181"/>
    <s v="2023-05-24"/>
    <s v="AMZN"/>
    <s v="Amazon.com"/>
    <x v="6"/>
    <x v="4"/>
    <x v="2"/>
    <n v="134.85"/>
    <n v="88.73"/>
    <n v="4353"/>
    <n v="587002.05000000005"/>
    <n v="386241.69"/>
    <n v="-200760.36"/>
    <n v="-34.200000000000003"/>
    <x v="1"/>
    <n v="0.30249999999999999"/>
    <n v="1.1200000000000001"/>
  </r>
  <r>
    <s v="AXE-0182"/>
    <s v="2023-07-13"/>
    <s v="AMZN"/>
    <s v="Amazon.com"/>
    <x v="6"/>
    <x v="4"/>
    <x v="0"/>
    <n v="126.73"/>
    <n v="170.15"/>
    <n v="940"/>
    <n v="119126.2"/>
    <n v="159941"/>
    <n v="40814.800000000003"/>
    <n v="34.26"/>
    <x v="1"/>
    <n v="0.25180000000000002"/>
    <n v="1.32"/>
  </r>
  <r>
    <s v="AXE-0183"/>
    <s v="2022-06-20"/>
    <s v="LLY"/>
    <s v="Eli Lilly"/>
    <x v="2"/>
    <x v="4"/>
    <x v="2"/>
    <n v="474.49"/>
    <n v="484.08"/>
    <n v="3762"/>
    <n v="1785031.38"/>
    <n v="1821108.96"/>
    <n v="36077.58"/>
    <n v="2.02"/>
    <x v="0"/>
    <n v="0.27160000000000001"/>
    <n v="1.8"/>
  </r>
  <r>
    <s v="AXE-0184"/>
    <s v="2023-10-17"/>
    <s v="GS"/>
    <s v="Goldman Sachs"/>
    <x v="4"/>
    <x v="1"/>
    <x v="1"/>
    <n v="364.42"/>
    <n v="525.04"/>
    <n v="3427"/>
    <n v="1248867.3400000001"/>
    <n v="1799312.08"/>
    <n v="550444.74"/>
    <n v="44.08"/>
    <x v="1"/>
    <n v="0.41210000000000002"/>
    <n v="1.74"/>
  </r>
  <r>
    <s v="AXE-0185"/>
    <s v="2023-09-15"/>
    <s v="META"/>
    <s v="Meta Platforms"/>
    <x v="0"/>
    <x v="1"/>
    <x v="2"/>
    <n v="304.56"/>
    <n v="297.89999999999998"/>
    <n v="1134"/>
    <n v="345371.04"/>
    <n v="337818.6"/>
    <n v="-7552.44"/>
    <n v="-2.19"/>
    <x v="0"/>
    <n v="0.27750000000000002"/>
    <n v="1.06"/>
  </r>
  <r>
    <s v="AXE-0186"/>
    <s v="2022-02-03"/>
    <s v="CAT"/>
    <s v="Caterpillar"/>
    <x v="1"/>
    <x v="2"/>
    <x v="1"/>
    <n v="230.78"/>
    <n v="326.36"/>
    <n v="3138"/>
    <n v="724187.64"/>
    <n v="1024117.68"/>
    <n v="299930.03999999998"/>
    <n v="41.42"/>
    <x v="1"/>
    <n v="0.36680000000000001"/>
    <n v="1.24"/>
  </r>
  <r>
    <s v="AXE-0187"/>
    <s v="2022-11-18"/>
    <s v="JNJ"/>
    <s v="J&amp;J"/>
    <x v="2"/>
    <x v="0"/>
    <x v="0"/>
    <n v="141.53"/>
    <n v="142.97999999999999"/>
    <n v="1029"/>
    <n v="145634.37"/>
    <n v="147126.42000000001"/>
    <n v="1492.05"/>
    <n v="1.02"/>
    <x v="0"/>
    <n v="0.34260000000000002"/>
    <n v="1.7"/>
  </r>
  <r>
    <s v="AXE-0188"/>
    <s v="2022-09-26"/>
    <s v="NVDA"/>
    <s v="NVIDIA Corp."/>
    <x v="0"/>
    <x v="2"/>
    <x v="0"/>
    <n v="689.35"/>
    <n v="744.43"/>
    <n v="1857"/>
    <n v="1280122.95"/>
    <n v="1382406.51"/>
    <n v="102283.56"/>
    <n v="7.99"/>
    <x v="0"/>
    <n v="0.5141"/>
    <n v="1.19"/>
  </r>
  <r>
    <s v="AXE-0189"/>
    <s v="2022-05-19"/>
    <s v="NVDA"/>
    <s v="NVIDIA Corp."/>
    <x v="0"/>
    <x v="2"/>
    <x v="1"/>
    <n v="671.76"/>
    <n v="800.45"/>
    <n v="1514"/>
    <n v="1017044.64"/>
    <n v="1211881.3"/>
    <n v="194836.66"/>
    <n v="19.16"/>
    <x v="2"/>
    <n v="0.1578"/>
    <n v="1.42"/>
  </r>
  <r>
    <s v="AXE-0190"/>
    <s v="2023-11-15"/>
    <s v="CVX"/>
    <s v="Chevron Corp."/>
    <x v="3"/>
    <x v="1"/>
    <x v="3"/>
    <n v="162.02000000000001"/>
    <n v="243.67"/>
    <n v="4605"/>
    <n v="746102.1"/>
    <n v="1122100.3500000001"/>
    <n v="375998.25"/>
    <n v="50.4"/>
    <x v="1"/>
    <n v="0.48609999999999998"/>
    <n v="1.45"/>
  </r>
  <r>
    <s v="AXE-0191"/>
    <s v="2023-01-06"/>
    <s v="AMZN"/>
    <s v="Amazon.com"/>
    <x v="6"/>
    <x v="1"/>
    <x v="2"/>
    <n v="157.69999999999999"/>
    <n v="114.95"/>
    <n v="1746"/>
    <n v="275344.2"/>
    <n v="200702.7"/>
    <n v="-74641.5"/>
    <n v="-27.11"/>
    <x v="1"/>
    <n v="0.33239999999999997"/>
    <n v="1.03"/>
  </r>
  <r>
    <s v="AXE-0192"/>
    <s v="2023-01-13"/>
    <s v="CAT"/>
    <s v="Caterpillar"/>
    <x v="1"/>
    <x v="3"/>
    <x v="2"/>
    <n v="248.06"/>
    <n v="163.63999999999999"/>
    <n v="1163"/>
    <n v="288493.78000000003"/>
    <n v="190313.32"/>
    <n v="-98180.46"/>
    <n v="-34.03"/>
    <x v="1"/>
    <n v="0.253"/>
    <n v="1.8"/>
  </r>
  <r>
    <s v="AXE-0193"/>
    <s v="2023-06-23"/>
    <s v="BLK"/>
    <s v="BlackRock"/>
    <x v="4"/>
    <x v="2"/>
    <x v="1"/>
    <n v="680.26"/>
    <n v="1061.6600000000001"/>
    <n v="4809"/>
    <n v="3271370.34"/>
    <n v="5105522.9400000004"/>
    <n v="1834152.6"/>
    <n v="56.07"/>
    <x v="1"/>
    <n v="0.3962"/>
    <n v="1.1399999999999999"/>
  </r>
  <r>
    <s v="AXE-0194"/>
    <s v="2022-12-19"/>
    <s v="NFLX"/>
    <s v="Netflix Inc."/>
    <x v="5"/>
    <x v="3"/>
    <x v="1"/>
    <n v="407.07"/>
    <n v="633.55999999999995"/>
    <n v="4915"/>
    <n v="2000749.05"/>
    <n v="3113947.4"/>
    <n v="1113198.3500000001"/>
    <n v="55.64"/>
    <x v="1"/>
    <n v="0.30599999999999999"/>
    <n v="1.69"/>
  </r>
  <r>
    <s v="AXE-0195"/>
    <s v="2022-05-08"/>
    <s v="MSFT"/>
    <s v="Microsoft Corp."/>
    <x v="0"/>
    <x v="4"/>
    <x v="1"/>
    <n v="287.55"/>
    <n v="441.19"/>
    <n v="1448"/>
    <n v="416372.4"/>
    <n v="638843.12"/>
    <n v="222470.72"/>
    <n v="53.43"/>
    <x v="1"/>
    <n v="0.217"/>
    <n v="1.74"/>
  </r>
  <r>
    <s v="AXE-0196"/>
    <s v="2022-10-18"/>
    <s v="NFLX"/>
    <s v="Netflix Inc."/>
    <x v="5"/>
    <x v="4"/>
    <x v="1"/>
    <n v="468.23"/>
    <n v="592.59"/>
    <n v="1708"/>
    <n v="799736.84"/>
    <n v="1012143.72"/>
    <n v="212406.88"/>
    <n v="26.56"/>
    <x v="1"/>
    <n v="0.17380000000000001"/>
    <n v="0.96"/>
  </r>
  <r>
    <s v="AXE-0197"/>
    <s v="2022-04-06"/>
    <s v="BA"/>
    <s v="Boeing Co."/>
    <x v="1"/>
    <x v="3"/>
    <x v="1"/>
    <n v="188.21"/>
    <n v="252.41"/>
    <n v="4856"/>
    <n v="913947.76"/>
    <n v="1225702.96"/>
    <n v="311755.2"/>
    <n v="34.11"/>
    <x v="1"/>
    <n v="0.4299"/>
    <n v="1.33"/>
  </r>
  <r>
    <s v="AXE-0198"/>
    <s v="2022-02-12"/>
    <s v="CAT"/>
    <s v="Caterpillar"/>
    <x v="1"/>
    <x v="1"/>
    <x v="1"/>
    <n v="272.3"/>
    <n v="386.59"/>
    <n v="472"/>
    <n v="128525.6"/>
    <n v="182470.48"/>
    <n v="53944.88"/>
    <n v="41.97"/>
    <x v="1"/>
    <n v="0.23380000000000001"/>
    <n v="0.85"/>
  </r>
  <r>
    <s v="AXE-0199"/>
    <s v="2023-03-03"/>
    <s v="CAT"/>
    <s v="Caterpillar"/>
    <x v="1"/>
    <x v="2"/>
    <x v="1"/>
    <n v="224.86"/>
    <n v="348.46"/>
    <n v="4569"/>
    <n v="1027385.34"/>
    <n v="1592113.74"/>
    <n v="564728.4"/>
    <n v="54.97"/>
    <x v="1"/>
    <n v="0.32769999999999999"/>
    <n v="1.57"/>
  </r>
  <r>
    <s v="AXE-0200"/>
    <s v="2022-11-01"/>
    <s v="JNJ"/>
    <s v="J&amp;J"/>
    <x v="2"/>
    <x v="1"/>
    <x v="2"/>
    <n v="148.07"/>
    <n v="120.11"/>
    <n v="590"/>
    <n v="87361.3"/>
    <n v="70864.899999999994"/>
    <n v="-16496.400000000001"/>
    <n v="-18.88"/>
    <x v="2"/>
    <n v="0.31969999999999998"/>
    <n v="1.01"/>
  </r>
  <r>
    <s v="AXE-0201"/>
    <s v="2022-11-17"/>
    <s v="META"/>
    <s v="Meta Platforms"/>
    <x v="0"/>
    <x v="4"/>
    <x v="3"/>
    <n v="311.23"/>
    <n v="354.61"/>
    <n v="3366"/>
    <n v="1047600.18"/>
    <n v="1193617.26"/>
    <n v="146017.07999999999"/>
    <n v="13.94"/>
    <x v="2"/>
    <n v="0.36149999999999999"/>
    <n v="0.98"/>
  </r>
  <r>
    <s v="AXE-0202"/>
    <s v="2022-05-06"/>
    <s v="PFE"/>
    <s v="Pfizer Inc."/>
    <x v="2"/>
    <x v="2"/>
    <x v="0"/>
    <n v="42.83"/>
    <n v="39.21"/>
    <n v="2130"/>
    <n v="91227.9"/>
    <n v="83517.3"/>
    <n v="-7710.6"/>
    <n v="-8.4499999999999993"/>
    <x v="2"/>
    <n v="0.52649999999999997"/>
    <n v="1.64"/>
  </r>
  <r>
    <s v="AXE-0203"/>
    <s v="2022-09-12"/>
    <s v="LLY"/>
    <s v="Eli Lilly"/>
    <x v="2"/>
    <x v="4"/>
    <x v="1"/>
    <n v="586.49"/>
    <n v="594.04999999999995"/>
    <n v="4832"/>
    <n v="2833919.68"/>
    <n v="2870449.6"/>
    <n v="36529.919999999998"/>
    <n v="1.29"/>
    <x v="0"/>
    <n v="0.1885"/>
    <n v="1.8"/>
  </r>
  <r>
    <s v="AXE-0204"/>
    <s v="2023-05-26"/>
    <s v="PFE"/>
    <s v="Pfizer Inc."/>
    <x v="2"/>
    <x v="2"/>
    <x v="0"/>
    <n v="42.1"/>
    <n v="48.64"/>
    <n v="289"/>
    <n v="12166.9"/>
    <n v="14056.96"/>
    <n v="1890.06"/>
    <n v="15.53"/>
    <x v="2"/>
    <n v="0.31659999999999999"/>
    <n v="0.89"/>
  </r>
  <r>
    <s v="AXE-0205"/>
    <s v="2022-12-28"/>
    <s v="CAT"/>
    <s v="Caterpillar"/>
    <x v="1"/>
    <x v="1"/>
    <x v="1"/>
    <n v="239.63"/>
    <n v="358.88"/>
    <n v="2404"/>
    <n v="576070.52"/>
    <n v="862747.52"/>
    <n v="286677"/>
    <n v="49.76"/>
    <x v="1"/>
    <n v="0.40129999999999999"/>
    <n v="1.1599999999999999"/>
  </r>
  <r>
    <s v="AXE-0206"/>
    <s v="2022-01-09"/>
    <s v="BA"/>
    <s v="Boeing Co."/>
    <x v="1"/>
    <x v="2"/>
    <x v="1"/>
    <n v="234.09"/>
    <n v="325.20999999999998"/>
    <n v="1197"/>
    <n v="280205.73"/>
    <n v="389276.37"/>
    <n v="109070.64"/>
    <n v="38.93"/>
    <x v="1"/>
    <n v="0.44850000000000001"/>
    <n v="1.04"/>
  </r>
  <r>
    <s v="AXE-0207"/>
    <s v="2022-02-22"/>
    <s v="JNJ"/>
    <s v="J&amp;J"/>
    <x v="2"/>
    <x v="4"/>
    <x v="2"/>
    <n v="154.54"/>
    <n v="123.28"/>
    <n v="4632"/>
    <n v="715829.28"/>
    <n v="571032.96"/>
    <n v="-144796.32"/>
    <n v="-20.23"/>
    <x v="2"/>
    <n v="0.31369999999999998"/>
    <n v="1.26"/>
  </r>
  <r>
    <s v="AXE-0208"/>
    <s v="2023-11-28"/>
    <s v="MS"/>
    <s v="Morgan Stanley"/>
    <x v="4"/>
    <x v="0"/>
    <x v="1"/>
    <n v="87.14"/>
    <n v="125.17"/>
    <n v="892"/>
    <n v="77728.88"/>
    <n v="111651.64"/>
    <n v="33922.76"/>
    <n v="43.64"/>
    <x v="1"/>
    <n v="0.26579999999999998"/>
    <n v="1.73"/>
  </r>
  <r>
    <s v="AXE-0209"/>
    <s v="2022-07-23"/>
    <s v="META"/>
    <s v="Meta Platforms"/>
    <x v="0"/>
    <x v="3"/>
    <x v="1"/>
    <n v="302.26"/>
    <n v="294.98"/>
    <n v="429"/>
    <n v="129669.54"/>
    <n v="126546.42"/>
    <n v="-3123.12"/>
    <n v="-2.41"/>
    <x v="0"/>
    <n v="0.26319999999999999"/>
    <n v="1.17"/>
  </r>
  <r>
    <s v="AXE-0210"/>
    <s v="2022-06-02"/>
    <s v="PFE"/>
    <s v="Pfizer Inc."/>
    <x v="2"/>
    <x v="4"/>
    <x v="1"/>
    <n v="43.14"/>
    <n v="67.88"/>
    <n v="2709"/>
    <n v="116866.26"/>
    <n v="183886.92"/>
    <n v="67020.66"/>
    <n v="57.35"/>
    <x v="1"/>
    <n v="0.43790000000000001"/>
    <n v="0.96"/>
  </r>
  <r>
    <s v="AXE-0211"/>
    <s v="2023-06-04"/>
    <s v="CVX"/>
    <s v="Chevron Corp."/>
    <x v="3"/>
    <x v="3"/>
    <x v="2"/>
    <n v="158.79"/>
    <n v="99.67"/>
    <n v="2555"/>
    <n v="405708.45"/>
    <n v="254656.85"/>
    <n v="-151051.6"/>
    <n v="-37.229999999999997"/>
    <x v="1"/>
    <n v="0.26240000000000002"/>
    <n v="0.73"/>
  </r>
  <r>
    <s v="AXE-0212"/>
    <s v="2023-08-21"/>
    <s v="LLY"/>
    <s v="Eli Lilly"/>
    <x v="2"/>
    <x v="1"/>
    <x v="0"/>
    <n v="545.80999999999995"/>
    <n v="849.8"/>
    <n v="4989"/>
    <n v="2723046.09"/>
    <n v="4239652.2"/>
    <n v="1516606.11"/>
    <n v="55.7"/>
    <x v="1"/>
    <n v="0.45660000000000001"/>
    <n v="1.53"/>
  </r>
  <r>
    <s v="AXE-0213"/>
    <s v="2022-08-22"/>
    <s v="CAT"/>
    <s v="Caterpillar"/>
    <x v="1"/>
    <x v="3"/>
    <x v="1"/>
    <n v="216.28"/>
    <n v="285.56"/>
    <n v="4035"/>
    <n v="872689.8"/>
    <n v="1152234.6000000001"/>
    <n v="279544.8"/>
    <n v="32.03"/>
    <x v="1"/>
    <n v="0.38650000000000001"/>
    <n v="1.61"/>
  </r>
  <r>
    <s v="AXE-0214"/>
    <s v="2023-11-29"/>
    <s v="META"/>
    <s v="Meta Platforms"/>
    <x v="0"/>
    <x v="1"/>
    <x v="2"/>
    <n v="397.06"/>
    <n v="266.25"/>
    <n v="4790"/>
    <n v="1901917.4"/>
    <n v="1275337.5"/>
    <n v="-626579.9"/>
    <n v="-32.94"/>
    <x v="1"/>
    <n v="0.12809999999999999"/>
    <n v="0.98"/>
  </r>
  <r>
    <s v="AXE-0215"/>
    <s v="2023-02-27"/>
    <s v="META"/>
    <s v="Meta Platforms"/>
    <x v="0"/>
    <x v="2"/>
    <x v="2"/>
    <n v="378.87"/>
    <n v="395.33"/>
    <n v="4210"/>
    <n v="1595042.7"/>
    <n v="1664339.3"/>
    <n v="69296.600000000006"/>
    <n v="4.34"/>
    <x v="0"/>
    <n v="0.49530000000000002"/>
    <n v="1.48"/>
  </r>
  <r>
    <s v="AXE-0216"/>
    <s v="2023-12-24"/>
    <s v="MSFT"/>
    <s v="Microsoft Corp."/>
    <x v="0"/>
    <x v="3"/>
    <x v="1"/>
    <n v="325.85000000000002"/>
    <n v="514.41"/>
    <n v="1798"/>
    <n v="585878.30000000005"/>
    <n v="924909.18"/>
    <n v="339030.88"/>
    <n v="57.87"/>
    <x v="1"/>
    <n v="0.32569999999999999"/>
    <n v="1.05"/>
  </r>
  <r>
    <s v="AXE-0217"/>
    <s v="2023-04-16"/>
    <s v="AMZN"/>
    <s v="Amazon.com"/>
    <x v="6"/>
    <x v="3"/>
    <x v="3"/>
    <n v="152.65"/>
    <n v="227.05"/>
    <n v="3002"/>
    <n v="458255.3"/>
    <n v="681604.1"/>
    <n v="223348.8"/>
    <n v="48.74"/>
    <x v="1"/>
    <n v="0.41270000000000001"/>
    <n v="1.56"/>
  </r>
  <r>
    <s v="AXE-0218"/>
    <s v="2023-09-17"/>
    <s v="GS"/>
    <s v="Goldman Sachs"/>
    <x v="4"/>
    <x v="0"/>
    <x v="2"/>
    <n v="354.81"/>
    <n v="268.7"/>
    <n v="2119"/>
    <n v="751842.39"/>
    <n v="569375.30000000005"/>
    <n v="-182467.09"/>
    <n v="-24.27"/>
    <x v="1"/>
    <n v="0.52480000000000004"/>
    <n v="1.78"/>
  </r>
  <r>
    <s v="AXE-0219"/>
    <s v="2023-12-23"/>
    <s v="XOM"/>
    <s v="Exxon Mobil"/>
    <x v="3"/>
    <x v="2"/>
    <x v="2"/>
    <n v="104.36"/>
    <n v="91.61"/>
    <n v="2697"/>
    <n v="281458.92"/>
    <n v="247072.17"/>
    <n v="-34386.75"/>
    <n v="-12.22"/>
    <x v="2"/>
    <n v="0.52180000000000004"/>
    <n v="1.47"/>
  </r>
  <r>
    <s v="AXE-0220"/>
    <s v="2022-05-05"/>
    <s v="XOM"/>
    <s v="Exxon Mobil"/>
    <x v="3"/>
    <x v="2"/>
    <x v="1"/>
    <n v="119.32"/>
    <n v="172.21"/>
    <n v="2927"/>
    <n v="349249.64"/>
    <n v="504058.67"/>
    <n v="154809.03"/>
    <n v="44.33"/>
    <x v="1"/>
    <n v="0.24490000000000001"/>
    <n v="0.95"/>
  </r>
  <r>
    <s v="AXE-0221"/>
    <s v="2022-12-21"/>
    <s v="GOOGL"/>
    <s v="Alphabet Inc."/>
    <x v="0"/>
    <x v="4"/>
    <x v="2"/>
    <n v="127.99"/>
    <n v="128.1"/>
    <n v="4024"/>
    <n v="515031.76"/>
    <n v="515474.4"/>
    <n v="442.64"/>
    <n v="0.09"/>
    <x v="0"/>
    <n v="0.2366"/>
    <n v="1.27"/>
  </r>
  <r>
    <s v="AXE-0222"/>
    <s v="2022-05-21"/>
    <s v="GS"/>
    <s v="Goldman Sachs"/>
    <x v="4"/>
    <x v="3"/>
    <x v="1"/>
    <n v="350.28"/>
    <n v="320.69"/>
    <n v="4907"/>
    <n v="1718823.96"/>
    <n v="1573625.83"/>
    <n v="-145198.13"/>
    <n v="-8.4499999999999993"/>
    <x v="2"/>
    <n v="0.50919999999999999"/>
    <n v="0.87"/>
  </r>
  <r>
    <s v="AXE-0223"/>
    <s v="2022-02-23"/>
    <s v="JPM"/>
    <s v="JPMorgan Chase"/>
    <x v="4"/>
    <x v="2"/>
    <x v="1"/>
    <n v="165.11"/>
    <n v="156.91999999999999"/>
    <n v="2805"/>
    <n v="463133.55"/>
    <n v="440160.6"/>
    <n v="-22972.95"/>
    <n v="-4.96"/>
    <x v="0"/>
    <n v="0.45140000000000002"/>
    <n v="0.61"/>
  </r>
  <r>
    <s v="AXE-0224"/>
    <s v="2022-06-11"/>
    <s v="BA"/>
    <s v="Boeing Co."/>
    <x v="1"/>
    <x v="2"/>
    <x v="1"/>
    <n v="219.48"/>
    <n v="309.27999999999997"/>
    <n v="4011"/>
    <n v="880334.28"/>
    <n v="1240522.08"/>
    <n v="360187.8"/>
    <n v="40.909999999999997"/>
    <x v="1"/>
    <n v="0.24349999999999999"/>
    <n v="0.94"/>
  </r>
  <r>
    <s v="AXE-0225"/>
    <s v="2022-04-02"/>
    <s v="MSFT"/>
    <s v="Microsoft Corp."/>
    <x v="0"/>
    <x v="3"/>
    <x v="2"/>
    <n v="359.67"/>
    <n v="251.96"/>
    <n v="405"/>
    <n v="145666.35"/>
    <n v="102043.8"/>
    <n v="-43622.55"/>
    <n v="-29.95"/>
    <x v="1"/>
    <n v="0.49940000000000001"/>
    <n v="0.81"/>
  </r>
  <r>
    <s v="AXE-0226"/>
    <s v="2023-02-11"/>
    <s v="MSFT"/>
    <s v="Microsoft Corp."/>
    <x v="0"/>
    <x v="0"/>
    <x v="2"/>
    <n v="356.17"/>
    <n v="222.34"/>
    <n v="2471"/>
    <n v="880096.07"/>
    <n v="549402.14"/>
    <n v="-330693.93"/>
    <n v="-37.57"/>
    <x v="1"/>
    <n v="0.36420000000000002"/>
    <n v="0.73"/>
  </r>
  <r>
    <s v="AXE-0227"/>
    <s v="2022-10-19"/>
    <s v="CVX"/>
    <s v="Chevron Corp."/>
    <x v="3"/>
    <x v="3"/>
    <x v="2"/>
    <n v="159.71"/>
    <n v="167.97"/>
    <n v="4395"/>
    <n v="701925.45"/>
    <n v="738228.15"/>
    <n v="36302.699999999997"/>
    <n v="5.17"/>
    <x v="0"/>
    <n v="0.48599999999999999"/>
    <n v="1.1599999999999999"/>
  </r>
  <r>
    <s v="AXE-0228"/>
    <s v="2022-04-26"/>
    <s v="TSLA"/>
    <s v="Tesla Inc."/>
    <x v="6"/>
    <x v="0"/>
    <x v="3"/>
    <n v="229.79"/>
    <n v="317.8"/>
    <n v="3859"/>
    <n v="886759.61"/>
    <n v="1226390.2"/>
    <n v="339630.59"/>
    <n v="38.299999999999997"/>
    <x v="1"/>
    <n v="0.12609999999999999"/>
    <n v="1"/>
  </r>
  <r>
    <s v="AXE-0229"/>
    <s v="2023-08-05"/>
    <s v="XOM"/>
    <s v="Exxon Mobil"/>
    <x v="3"/>
    <x v="0"/>
    <x v="2"/>
    <n v="115.3"/>
    <n v="98.82"/>
    <n v="3421"/>
    <n v="394441.3"/>
    <n v="338063.22"/>
    <n v="-56378.080000000002"/>
    <n v="-14.29"/>
    <x v="2"/>
    <n v="0.1573"/>
    <n v="1.4"/>
  </r>
  <r>
    <s v="AXE-0230"/>
    <s v="2022-05-24"/>
    <s v="AMZN"/>
    <s v="Amazon.com"/>
    <x v="6"/>
    <x v="4"/>
    <x v="2"/>
    <n v="123.55"/>
    <n v="98.4"/>
    <n v="2132"/>
    <n v="263408.59999999998"/>
    <n v="209788.79999999999"/>
    <n v="-53619.8"/>
    <n v="-20.36"/>
    <x v="2"/>
    <n v="0.31209999999999999"/>
    <n v="0.92"/>
  </r>
  <r>
    <s v="AXE-0231"/>
    <s v="2022-11-06"/>
    <s v="CVX"/>
    <s v="Chevron Corp."/>
    <x v="3"/>
    <x v="4"/>
    <x v="1"/>
    <n v="169.25"/>
    <n v="156.30000000000001"/>
    <n v="3045"/>
    <n v="515366.25"/>
    <n v="475933.5"/>
    <n v="-39432.75"/>
    <n v="-7.65"/>
    <x v="0"/>
    <n v="0.17080000000000001"/>
    <n v="0.97"/>
  </r>
  <r>
    <s v="AXE-0232"/>
    <s v="2023-12-04"/>
    <s v="JNJ"/>
    <s v="J&amp;J"/>
    <x v="2"/>
    <x v="1"/>
    <x v="0"/>
    <n v="158.44"/>
    <n v="163.92"/>
    <n v="2516"/>
    <n v="398635.04"/>
    <n v="412422.72"/>
    <n v="13787.68"/>
    <n v="3.46"/>
    <x v="0"/>
    <n v="0.53169999999999995"/>
    <n v="1.17"/>
  </r>
  <r>
    <s v="AXE-0233"/>
    <s v="2023-09-13"/>
    <s v="PFE"/>
    <s v="Pfizer Inc."/>
    <x v="2"/>
    <x v="2"/>
    <x v="3"/>
    <n v="53.94"/>
    <n v="76.06"/>
    <n v="4599"/>
    <n v="248070.06"/>
    <n v="349799.94"/>
    <n v="101729.88"/>
    <n v="41.01"/>
    <x v="1"/>
    <n v="0.46489999999999998"/>
    <n v="1.59"/>
  </r>
  <r>
    <s v="AXE-0234"/>
    <s v="2023-11-28"/>
    <s v="JPM"/>
    <s v="JPMorgan Chase"/>
    <x v="4"/>
    <x v="3"/>
    <x v="1"/>
    <n v="156.31"/>
    <n v="177.14"/>
    <n v="3759"/>
    <n v="587569.29"/>
    <n v="665869.26"/>
    <n v="78299.97"/>
    <n v="13.33"/>
    <x v="2"/>
    <n v="0.51439999999999997"/>
    <n v="0.73"/>
  </r>
  <r>
    <s v="AXE-0235"/>
    <s v="2023-06-02"/>
    <s v="BA"/>
    <s v="Boeing Co."/>
    <x v="1"/>
    <x v="3"/>
    <x v="2"/>
    <n v="187.94"/>
    <n v="144.88999999999999"/>
    <n v="4496"/>
    <n v="844978.24"/>
    <n v="651425.43999999994"/>
    <n v="-193552.8"/>
    <n v="-22.91"/>
    <x v="1"/>
    <n v="0.34370000000000001"/>
    <n v="0.74"/>
  </r>
  <r>
    <s v="AXE-0236"/>
    <s v="2023-08-21"/>
    <s v="TSLA"/>
    <s v="Tesla Inc."/>
    <x v="6"/>
    <x v="1"/>
    <x v="2"/>
    <n v="216.4"/>
    <n v="139.71"/>
    <n v="4280"/>
    <n v="926192"/>
    <n v="597958.80000000005"/>
    <n v="-328233.2"/>
    <n v="-35.44"/>
    <x v="1"/>
    <n v="0.1767"/>
    <n v="1.1000000000000001"/>
  </r>
  <r>
    <s v="AXE-0237"/>
    <s v="2022-03-01"/>
    <s v="CAT"/>
    <s v="Caterpillar"/>
    <x v="1"/>
    <x v="4"/>
    <x v="2"/>
    <n v="232.51"/>
    <n v="231.48"/>
    <n v="278"/>
    <n v="64637.78"/>
    <n v="64351.44"/>
    <n v="-286.33999999999997"/>
    <n v="-0.44"/>
    <x v="0"/>
    <n v="0.44069999999999998"/>
    <n v="1.29"/>
  </r>
  <r>
    <s v="AXE-0238"/>
    <s v="2023-03-10"/>
    <s v="MSFT"/>
    <s v="Microsoft Corp."/>
    <x v="0"/>
    <x v="1"/>
    <x v="3"/>
    <n v="367.44"/>
    <n v="563.73"/>
    <n v="4533"/>
    <n v="1665605.52"/>
    <n v="2555388.09"/>
    <n v="889782.57"/>
    <n v="53.42"/>
    <x v="1"/>
    <n v="0.1497"/>
    <n v="1.72"/>
  </r>
  <r>
    <s v="AXE-0239"/>
    <s v="2022-10-21"/>
    <s v="MSFT"/>
    <s v="Microsoft Corp."/>
    <x v="0"/>
    <x v="0"/>
    <x v="1"/>
    <n v="345.52"/>
    <n v="540.67999999999995"/>
    <n v="1209"/>
    <n v="417733.68"/>
    <n v="653682.12"/>
    <n v="235948.44"/>
    <n v="56.48"/>
    <x v="1"/>
    <n v="0.3977"/>
    <n v="1.1000000000000001"/>
  </r>
  <r>
    <s v="AXE-0240"/>
    <s v="2023-04-05"/>
    <s v="JNJ"/>
    <s v="J&amp;J"/>
    <x v="2"/>
    <x v="2"/>
    <x v="1"/>
    <n v="174.05"/>
    <n v="233.79"/>
    <n v="757"/>
    <n v="131755.85"/>
    <n v="176979.03"/>
    <n v="45223.18"/>
    <n v="34.32"/>
    <x v="1"/>
    <n v="0.35189999999999999"/>
    <n v="1.38"/>
  </r>
  <r>
    <s v="AXE-0241"/>
    <s v="2022-05-02"/>
    <s v="OXY"/>
    <s v="Occidental Pet."/>
    <x v="3"/>
    <x v="3"/>
    <x v="1"/>
    <n v="65.56"/>
    <n v="91.1"/>
    <n v="3319"/>
    <n v="217593.64"/>
    <n v="302360.90000000002"/>
    <n v="84767.26"/>
    <n v="38.96"/>
    <x v="1"/>
    <n v="0.21579999999999999"/>
    <n v="0.6"/>
  </r>
  <r>
    <s v="AXE-0242"/>
    <s v="2022-11-02"/>
    <s v="AAPL"/>
    <s v="Apple Inc."/>
    <x v="0"/>
    <x v="3"/>
    <x v="2"/>
    <n v="176.68"/>
    <n v="176.46"/>
    <n v="3574"/>
    <n v="631454.31999999995"/>
    <n v="630668.04"/>
    <n v="-786.28"/>
    <n v="-0.12"/>
    <x v="0"/>
    <n v="0.22639999999999999"/>
    <n v="1.02"/>
  </r>
  <r>
    <s v="AXE-0243"/>
    <s v="2022-07-13"/>
    <s v="GS"/>
    <s v="Goldman Sachs"/>
    <x v="4"/>
    <x v="1"/>
    <x v="1"/>
    <n v="393.1"/>
    <n v="603.54999999999995"/>
    <n v="3534"/>
    <n v="1389215.4"/>
    <n v="2132945.7000000002"/>
    <n v="743730.3"/>
    <n v="53.54"/>
    <x v="1"/>
    <n v="0.50229999999999997"/>
    <n v="0.89"/>
  </r>
  <r>
    <s v="AXE-0244"/>
    <s v="2022-04-14"/>
    <s v="GOOGL"/>
    <s v="Alphabet Inc."/>
    <x v="0"/>
    <x v="2"/>
    <x v="1"/>
    <n v="147.22"/>
    <n v="219.44"/>
    <n v="4997"/>
    <n v="735658.34"/>
    <n v="1096541.68"/>
    <n v="360883.34"/>
    <n v="49.06"/>
    <x v="1"/>
    <n v="0.22520000000000001"/>
    <n v="0.65"/>
  </r>
  <r>
    <s v="AXE-0245"/>
    <s v="2022-08-28"/>
    <s v="PFE"/>
    <s v="Pfizer Inc."/>
    <x v="2"/>
    <x v="1"/>
    <x v="2"/>
    <n v="48.06"/>
    <n v="36.19"/>
    <n v="1247"/>
    <n v="59930.82"/>
    <n v="45128.93"/>
    <n v="-14801.89"/>
    <n v="-24.7"/>
    <x v="1"/>
    <n v="0.4708"/>
    <n v="1.48"/>
  </r>
  <r>
    <s v="AXE-0246"/>
    <s v="2023-08-15"/>
    <s v="CVX"/>
    <s v="Chevron Corp."/>
    <x v="3"/>
    <x v="0"/>
    <x v="3"/>
    <n v="178.06"/>
    <n v="279.55"/>
    <n v="2572"/>
    <n v="457970.32"/>
    <n v="719002.6"/>
    <n v="261032.28"/>
    <n v="57"/>
    <x v="1"/>
    <n v="0.34410000000000002"/>
    <n v="1.1000000000000001"/>
  </r>
  <r>
    <s v="AXE-0247"/>
    <s v="2022-03-04"/>
    <s v="GS"/>
    <s v="Goldman Sachs"/>
    <x v="4"/>
    <x v="2"/>
    <x v="1"/>
    <n v="379.5"/>
    <n v="592.25"/>
    <n v="4653"/>
    <n v="1765813.5"/>
    <n v="2755739.25"/>
    <n v="989925.75"/>
    <n v="56.06"/>
    <x v="1"/>
    <n v="0.52490000000000003"/>
    <n v="1.41"/>
  </r>
  <r>
    <s v="AXE-0248"/>
    <s v="2022-11-23"/>
    <s v="NFLX"/>
    <s v="Netflix Inc."/>
    <x v="5"/>
    <x v="2"/>
    <x v="1"/>
    <n v="422.98"/>
    <n v="426.67"/>
    <n v="1322"/>
    <n v="559179.56000000006"/>
    <n v="564057.74"/>
    <n v="4878.18"/>
    <n v="0.87"/>
    <x v="0"/>
    <n v="0.3513"/>
    <n v="0.89"/>
  </r>
  <r>
    <s v="AXE-0249"/>
    <s v="2022-11-04"/>
    <s v="JPM"/>
    <s v="JPMorgan Chase"/>
    <x v="4"/>
    <x v="2"/>
    <x v="1"/>
    <n v="157.9"/>
    <n v="245.92"/>
    <n v="572"/>
    <n v="90318.8"/>
    <n v="140666.23999999999"/>
    <n v="50347.44"/>
    <n v="55.74"/>
    <x v="1"/>
    <n v="0.35959999999999998"/>
    <n v="0.76"/>
  </r>
  <r>
    <s v="AXE-0250"/>
    <s v="2022-09-19"/>
    <s v="JPM"/>
    <s v="JPMorgan Chase"/>
    <x v="4"/>
    <x v="4"/>
    <x v="2"/>
    <n v="174.63"/>
    <n v="176.32"/>
    <n v="747"/>
    <n v="130448.61"/>
    <n v="131711.04000000001"/>
    <n v="1262.43"/>
    <n v="0.97"/>
    <x v="0"/>
    <n v="0.1598"/>
    <n v="1.47"/>
  </r>
  <r>
    <s v="AXE-0251"/>
    <s v="2022-02-22"/>
    <s v="TSLA"/>
    <s v="Tesla Inc."/>
    <x v="6"/>
    <x v="2"/>
    <x v="0"/>
    <n v="244.66"/>
    <n v="247.53"/>
    <n v="423"/>
    <n v="103491.18"/>
    <n v="104705.19"/>
    <n v="1214.01"/>
    <n v="1.17"/>
    <x v="0"/>
    <n v="0.44750000000000001"/>
    <n v="1.47"/>
  </r>
  <r>
    <s v="AXE-0252"/>
    <s v="2022-08-11"/>
    <s v="BA"/>
    <s v="Boeing Co."/>
    <x v="1"/>
    <x v="0"/>
    <x v="2"/>
    <n v="197.6"/>
    <n v="205.14"/>
    <n v="2827"/>
    <n v="558615.19999999995"/>
    <n v="579930.78"/>
    <n v="21315.58"/>
    <n v="3.82"/>
    <x v="0"/>
    <n v="0.21110000000000001"/>
    <n v="0.83"/>
  </r>
  <r>
    <s v="AXE-0253"/>
    <s v="2023-05-06"/>
    <s v="NVDA"/>
    <s v="NVIDIA Corp."/>
    <x v="0"/>
    <x v="3"/>
    <x v="2"/>
    <n v="581.39"/>
    <n v="424.47"/>
    <n v="1775"/>
    <n v="1031967.25"/>
    <n v="753434.25"/>
    <n v="-278533"/>
    <n v="-26.99"/>
    <x v="1"/>
    <n v="0.25829999999999997"/>
    <n v="0.94"/>
  </r>
  <r>
    <s v="AXE-0254"/>
    <s v="2023-07-01"/>
    <s v="PFE"/>
    <s v="Pfizer Inc."/>
    <x v="2"/>
    <x v="4"/>
    <x v="3"/>
    <n v="45.98"/>
    <n v="68.88"/>
    <n v="2242"/>
    <n v="103087.16"/>
    <n v="154428.96"/>
    <n v="51341.8"/>
    <n v="49.8"/>
    <x v="1"/>
    <n v="0.32040000000000002"/>
    <n v="1.56"/>
  </r>
  <r>
    <s v="AXE-0255"/>
    <s v="2022-11-24"/>
    <s v="BLK"/>
    <s v="BlackRock"/>
    <x v="4"/>
    <x v="4"/>
    <x v="2"/>
    <n v="759.86"/>
    <n v="667.74"/>
    <n v="2663"/>
    <n v="2023507.18"/>
    <n v="1778191.62"/>
    <n v="-245315.56"/>
    <n v="-12.12"/>
    <x v="2"/>
    <n v="0.21510000000000001"/>
    <n v="0.78"/>
  </r>
  <r>
    <s v="AXE-0256"/>
    <s v="2023-07-21"/>
    <s v="GS"/>
    <s v="Goldman Sachs"/>
    <x v="4"/>
    <x v="4"/>
    <x v="1"/>
    <n v="345.37"/>
    <n v="359.53"/>
    <n v="1348"/>
    <n v="465558.76"/>
    <n v="484646.44"/>
    <n v="19087.68"/>
    <n v="4.0999999999999996"/>
    <x v="0"/>
    <n v="0.36499999999999999"/>
    <n v="0.89"/>
  </r>
  <r>
    <s v="AXE-0257"/>
    <s v="2023-11-02"/>
    <s v="BA"/>
    <s v="Boeing Co."/>
    <x v="1"/>
    <x v="4"/>
    <x v="3"/>
    <n v="239.39"/>
    <n v="318.19"/>
    <n v="4102"/>
    <n v="981977.78"/>
    <n v="1305215.3799999999"/>
    <n v="323237.59999999998"/>
    <n v="32.92"/>
    <x v="1"/>
    <n v="0.33100000000000002"/>
    <n v="0.8"/>
  </r>
  <r>
    <s v="AXE-0258"/>
    <s v="2022-06-23"/>
    <s v="OXY"/>
    <s v="Occidental Pet."/>
    <x v="3"/>
    <x v="3"/>
    <x v="1"/>
    <n v="58.84"/>
    <n v="88.41"/>
    <n v="4100"/>
    <n v="241244"/>
    <n v="362481"/>
    <n v="121237"/>
    <n v="50.25"/>
    <x v="1"/>
    <n v="0.54579999999999995"/>
    <n v="1.75"/>
  </r>
  <r>
    <s v="AXE-0259"/>
    <s v="2022-02-04"/>
    <s v="NFLX"/>
    <s v="Netflix Inc."/>
    <x v="5"/>
    <x v="1"/>
    <x v="1"/>
    <n v="438.17"/>
    <n v="644.01"/>
    <n v="152"/>
    <n v="66601.84"/>
    <n v="97889.52"/>
    <n v="31287.68"/>
    <n v="46.98"/>
    <x v="1"/>
    <n v="0.2195"/>
    <n v="1.45"/>
  </r>
  <r>
    <s v="AXE-0260"/>
    <s v="2022-08-12"/>
    <s v="AAPL"/>
    <s v="Apple Inc."/>
    <x v="0"/>
    <x v="4"/>
    <x v="2"/>
    <n v="181.19"/>
    <n v="167.91"/>
    <n v="595"/>
    <n v="107808.05"/>
    <n v="99906.45"/>
    <n v="-7901.6"/>
    <n v="-7.33"/>
    <x v="0"/>
    <n v="0.3851"/>
    <n v="1.18"/>
  </r>
  <r>
    <s v="AXE-0261"/>
    <s v="2022-01-17"/>
    <s v="BLK"/>
    <s v="BlackRock"/>
    <x v="4"/>
    <x v="3"/>
    <x v="1"/>
    <n v="759.25"/>
    <n v="677.03"/>
    <n v="4619"/>
    <n v="3506975.75"/>
    <n v="3127201.57"/>
    <n v="-379774.18"/>
    <n v="-10.83"/>
    <x v="2"/>
    <n v="0.43049999999999999"/>
    <n v="1.24"/>
  </r>
  <r>
    <s v="AXE-0262"/>
    <s v="2022-01-18"/>
    <s v="XOM"/>
    <s v="Exxon Mobil"/>
    <x v="3"/>
    <x v="0"/>
    <x v="1"/>
    <n v="118.17"/>
    <n v="147.37"/>
    <n v="976"/>
    <n v="115333.92"/>
    <n v="143833.12"/>
    <n v="28499.200000000001"/>
    <n v="24.71"/>
    <x v="1"/>
    <n v="0.22359999999999999"/>
    <n v="1.34"/>
  </r>
  <r>
    <s v="AXE-0263"/>
    <s v="2022-12-29"/>
    <s v="GS"/>
    <s v="Goldman Sachs"/>
    <x v="4"/>
    <x v="2"/>
    <x v="0"/>
    <n v="365.53"/>
    <n v="425.56"/>
    <n v="747"/>
    <n v="273050.90999999997"/>
    <n v="317893.32"/>
    <n v="44842.41"/>
    <n v="16.420000000000002"/>
    <x v="2"/>
    <n v="0.36299999999999999"/>
    <n v="1.79"/>
  </r>
  <r>
    <s v="AXE-0264"/>
    <s v="2022-11-04"/>
    <s v="JPM"/>
    <s v="JPMorgan Chase"/>
    <x v="4"/>
    <x v="1"/>
    <x v="1"/>
    <n v="150.6"/>
    <n v="172.29"/>
    <n v="865"/>
    <n v="130269"/>
    <n v="149030.85"/>
    <n v="18761.849999999999"/>
    <n v="14.4"/>
    <x v="2"/>
    <n v="0.32469999999999999"/>
    <n v="1.36"/>
  </r>
  <r>
    <s v="AXE-0265"/>
    <s v="2022-03-26"/>
    <s v="AMZN"/>
    <s v="Amazon.com"/>
    <x v="6"/>
    <x v="2"/>
    <x v="2"/>
    <n v="147.86000000000001"/>
    <n v="150.03"/>
    <n v="2813"/>
    <n v="415930.18"/>
    <n v="422034.39"/>
    <n v="6104.21"/>
    <n v="1.47"/>
    <x v="0"/>
    <n v="0.161"/>
    <n v="1.23"/>
  </r>
  <r>
    <s v="AXE-0266"/>
    <s v="2022-08-24"/>
    <s v="MSFT"/>
    <s v="Microsoft Corp."/>
    <x v="0"/>
    <x v="3"/>
    <x v="2"/>
    <n v="298.02999999999997"/>
    <n v="311.48"/>
    <n v="3995"/>
    <n v="1190629.8500000001"/>
    <n v="1244362.6000000001"/>
    <n v="53732.75"/>
    <n v="4.51"/>
    <x v="0"/>
    <n v="0.4143"/>
    <n v="0.94"/>
  </r>
  <r>
    <s v="AXE-0267"/>
    <s v="2023-08-01"/>
    <s v="BA"/>
    <s v="Boeing Co."/>
    <x v="1"/>
    <x v="0"/>
    <x v="1"/>
    <n v="179.49"/>
    <n v="183.98"/>
    <n v="2676"/>
    <n v="480315.24"/>
    <n v="492330.48"/>
    <n v="12015.24"/>
    <n v="2.5"/>
    <x v="0"/>
    <n v="0.182"/>
    <n v="1.58"/>
  </r>
  <r>
    <s v="AXE-0268"/>
    <s v="2022-03-20"/>
    <s v="JNJ"/>
    <s v="J&amp;J"/>
    <x v="2"/>
    <x v="0"/>
    <x v="0"/>
    <n v="152.15"/>
    <n v="222.79"/>
    <n v="4719"/>
    <n v="717995.85"/>
    <n v="1051346.01"/>
    <n v="333350.15999999997"/>
    <n v="46.43"/>
    <x v="1"/>
    <n v="0.2873"/>
    <n v="1.68"/>
  </r>
  <r>
    <s v="AXE-0269"/>
    <s v="2023-01-29"/>
    <s v="CVX"/>
    <s v="Chevron Corp."/>
    <x v="3"/>
    <x v="1"/>
    <x v="1"/>
    <n v="171.78"/>
    <n v="192.75"/>
    <n v="4202"/>
    <n v="721819.56"/>
    <n v="809935.5"/>
    <n v="88115.94"/>
    <n v="12.21"/>
    <x v="2"/>
    <n v="0.16200000000000001"/>
    <n v="0.88"/>
  </r>
  <r>
    <s v="AXE-0270"/>
    <s v="2022-12-15"/>
    <s v="GOOGL"/>
    <s v="Alphabet Inc."/>
    <x v="0"/>
    <x v="4"/>
    <x v="1"/>
    <n v="145.63"/>
    <n v="208.03"/>
    <n v="342"/>
    <n v="49805.46"/>
    <n v="71146.259999999995"/>
    <n v="21340.799999999999"/>
    <n v="42.85"/>
    <x v="1"/>
    <n v="0.31369999999999998"/>
    <n v="0.87"/>
  </r>
  <r>
    <s v="AXE-0271"/>
    <s v="2023-01-20"/>
    <s v="BA"/>
    <s v="Boeing Co."/>
    <x v="1"/>
    <x v="0"/>
    <x v="1"/>
    <n v="220.12"/>
    <n v="206.91"/>
    <n v="4899"/>
    <n v="1078367.8799999999"/>
    <n v="1013652.09"/>
    <n v="-64715.79"/>
    <n v="-6"/>
    <x v="0"/>
    <n v="0.38600000000000001"/>
    <n v="1.56"/>
  </r>
  <r>
    <s v="AXE-0272"/>
    <s v="2022-03-26"/>
    <s v="GOOGL"/>
    <s v="Alphabet Inc."/>
    <x v="0"/>
    <x v="0"/>
    <x v="0"/>
    <n v="148.88999999999999"/>
    <n v="197.09"/>
    <n v="3212"/>
    <n v="478234.68"/>
    <n v="633053.07999999996"/>
    <n v="154818.4"/>
    <n v="32.369999999999997"/>
    <x v="1"/>
    <n v="0.43809999999999999"/>
    <n v="0.98"/>
  </r>
  <r>
    <s v="AXE-0273"/>
    <s v="2022-04-04"/>
    <s v="NVDA"/>
    <s v="NVIDIA Corp."/>
    <x v="0"/>
    <x v="4"/>
    <x v="1"/>
    <n v="574.79"/>
    <n v="614.36"/>
    <n v="3743"/>
    <n v="2151438.9700000002"/>
    <n v="2299549.48"/>
    <n v="148110.51"/>
    <n v="6.88"/>
    <x v="0"/>
    <n v="0.17699999999999999"/>
    <n v="0.82"/>
  </r>
  <r>
    <s v="AXE-0274"/>
    <s v="2023-07-25"/>
    <s v="PFE"/>
    <s v="Pfizer Inc."/>
    <x v="2"/>
    <x v="1"/>
    <x v="1"/>
    <n v="42.09"/>
    <n v="53.37"/>
    <n v="315"/>
    <n v="13258.35"/>
    <n v="16811.55"/>
    <n v="3553.2"/>
    <n v="26.8"/>
    <x v="1"/>
    <n v="0.37669999999999998"/>
    <n v="1.54"/>
  </r>
  <r>
    <s v="AXE-0275"/>
    <s v="2022-01-13"/>
    <s v="JNJ"/>
    <s v="J&amp;J"/>
    <x v="2"/>
    <x v="2"/>
    <x v="0"/>
    <n v="178.82"/>
    <n v="248.09"/>
    <n v="3276"/>
    <n v="585814.31999999995"/>
    <n v="812742.84"/>
    <n v="226928.52"/>
    <n v="38.74"/>
    <x v="1"/>
    <n v="0.36059999999999998"/>
    <n v="1.79"/>
  </r>
  <r>
    <s v="AXE-0276"/>
    <s v="2023-08-09"/>
    <s v="JPM"/>
    <s v="JPMorgan Chase"/>
    <x v="4"/>
    <x v="2"/>
    <x v="1"/>
    <n v="138.21"/>
    <n v="150.76"/>
    <n v="1488"/>
    <n v="205656.48"/>
    <n v="224330.88"/>
    <n v="18674.400000000001"/>
    <n v="9.08"/>
    <x v="2"/>
    <n v="0.33200000000000002"/>
    <n v="0.68"/>
  </r>
  <r>
    <s v="AXE-0277"/>
    <s v="2022-10-10"/>
    <s v="LLY"/>
    <s v="Eli Lilly"/>
    <x v="2"/>
    <x v="4"/>
    <x v="1"/>
    <n v="596.64"/>
    <n v="675.87"/>
    <n v="4066"/>
    <n v="2425938.2400000002"/>
    <n v="2748087.42"/>
    <n v="322149.18"/>
    <n v="13.28"/>
    <x v="2"/>
    <n v="0.52600000000000002"/>
    <n v="1.47"/>
  </r>
  <r>
    <s v="AXE-0278"/>
    <s v="2023-09-01"/>
    <s v="BLK"/>
    <s v="BlackRock"/>
    <x v="4"/>
    <x v="2"/>
    <x v="2"/>
    <n v="694.7"/>
    <n v="432.88"/>
    <n v="976"/>
    <n v="678027.2"/>
    <n v="422490.88"/>
    <n v="-255536.32"/>
    <n v="-37.69"/>
    <x v="1"/>
    <n v="0.29010000000000002"/>
    <n v="1.61"/>
  </r>
  <r>
    <s v="AXE-0279"/>
    <s v="2022-12-04"/>
    <s v="JNJ"/>
    <s v="J&amp;J"/>
    <x v="2"/>
    <x v="4"/>
    <x v="2"/>
    <n v="180.62"/>
    <n v="183.4"/>
    <n v="3627"/>
    <n v="655108.74"/>
    <n v="665191.80000000005"/>
    <n v="10083.06"/>
    <n v="1.54"/>
    <x v="0"/>
    <n v="0.53890000000000005"/>
    <n v="0.76"/>
  </r>
  <r>
    <s v="AXE-0280"/>
    <s v="2023-09-10"/>
    <s v="CVX"/>
    <s v="Chevron Corp."/>
    <x v="3"/>
    <x v="2"/>
    <x v="2"/>
    <n v="144.53"/>
    <n v="116.09"/>
    <n v="2673"/>
    <n v="386328.69"/>
    <n v="310308.57"/>
    <n v="-76020.12"/>
    <n v="-19.68"/>
    <x v="2"/>
    <n v="0.25719999999999998"/>
    <n v="1.48"/>
  </r>
  <r>
    <s v="AXE-0281"/>
    <s v="2023-08-13"/>
    <s v="BLK"/>
    <s v="BlackRock"/>
    <x v="4"/>
    <x v="4"/>
    <x v="2"/>
    <n v="728.59"/>
    <n v="715.11"/>
    <n v="3180"/>
    <n v="2316916.2000000002"/>
    <n v="2274049.7999999998"/>
    <n v="-42866.400000000001"/>
    <n v="-1.85"/>
    <x v="0"/>
    <n v="0.27700000000000002"/>
    <n v="1.72"/>
  </r>
  <r>
    <s v="AXE-0282"/>
    <s v="2023-08-30"/>
    <s v="TSLA"/>
    <s v="Tesla Inc."/>
    <x v="6"/>
    <x v="3"/>
    <x v="1"/>
    <n v="249.9"/>
    <n v="300.66000000000003"/>
    <n v="320"/>
    <n v="79968"/>
    <n v="96211.199999999997"/>
    <n v="16243.2"/>
    <n v="20.309999999999999"/>
    <x v="2"/>
    <n v="0.42459999999999998"/>
    <n v="1.1299999999999999"/>
  </r>
  <r>
    <s v="AXE-0283"/>
    <s v="2023-12-11"/>
    <s v="XOM"/>
    <s v="Exxon Mobil"/>
    <x v="3"/>
    <x v="2"/>
    <x v="1"/>
    <n v="93.63"/>
    <n v="102.24"/>
    <n v="4190"/>
    <n v="392309.7"/>
    <n v="428385.6"/>
    <n v="36075.9"/>
    <n v="9.1999999999999993"/>
    <x v="2"/>
    <n v="0.22869999999999999"/>
    <n v="0.78"/>
  </r>
  <r>
    <s v="AXE-0284"/>
    <s v="2023-01-22"/>
    <s v="LLY"/>
    <s v="Eli Lilly"/>
    <x v="2"/>
    <x v="2"/>
    <x v="1"/>
    <n v="546.57000000000005"/>
    <n v="634.33000000000004"/>
    <n v="4998"/>
    <n v="2731756.86"/>
    <n v="3170381.34"/>
    <n v="438624.48"/>
    <n v="16.059999999999999"/>
    <x v="2"/>
    <n v="0.33779999999999999"/>
    <n v="1.7"/>
  </r>
  <r>
    <s v="AXE-0285"/>
    <s v="2023-07-11"/>
    <s v="LLY"/>
    <s v="Eli Lilly"/>
    <x v="2"/>
    <x v="4"/>
    <x v="1"/>
    <n v="565.48"/>
    <n v="859.58"/>
    <n v="4498"/>
    <n v="2543529.04"/>
    <n v="3866390.84"/>
    <n v="1322861.8"/>
    <n v="52.01"/>
    <x v="1"/>
    <n v="0.16700000000000001"/>
    <n v="0.9"/>
  </r>
  <r>
    <s v="AXE-0286"/>
    <s v="2022-06-20"/>
    <s v="OXY"/>
    <s v="Occidental Pet."/>
    <x v="3"/>
    <x v="3"/>
    <x v="1"/>
    <n v="74.099999999999994"/>
    <n v="82.41"/>
    <n v="3373"/>
    <n v="249939.3"/>
    <n v="277968.93"/>
    <n v="28029.63"/>
    <n v="11.21"/>
    <x v="2"/>
    <n v="0.46239999999999998"/>
    <n v="0.73"/>
  </r>
  <r>
    <s v="AXE-0287"/>
    <s v="2022-09-22"/>
    <s v="NVDA"/>
    <s v="NVIDIA Corp."/>
    <x v="0"/>
    <x v="3"/>
    <x v="2"/>
    <n v="610.44000000000005"/>
    <n v="571.57000000000005"/>
    <n v="4349"/>
    <n v="2654803.56"/>
    <n v="2485757.9300000002"/>
    <n v="-169045.63"/>
    <n v="-6.37"/>
    <x v="0"/>
    <n v="0.215"/>
    <n v="1.05"/>
  </r>
  <r>
    <s v="AXE-0288"/>
    <s v="2023-11-27"/>
    <s v="PFE"/>
    <s v="Pfizer Inc."/>
    <x v="2"/>
    <x v="4"/>
    <x v="1"/>
    <n v="47.75"/>
    <n v="51.89"/>
    <n v="301"/>
    <n v="14372.75"/>
    <n v="15618.89"/>
    <n v="1246.1400000000001"/>
    <n v="8.67"/>
    <x v="2"/>
    <n v="0.51580000000000004"/>
    <n v="0.7"/>
  </r>
  <r>
    <s v="AXE-0289"/>
    <s v="2022-12-23"/>
    <s v="META"/>
    <s v="Meta Platforms"/>
    <x v="0"/>
    <x v="4"/>
    <x v="0"/>
    <n v="379.85"/>
    <n v="472.83"/>
    <n v="3830"/>
    <n v="1454825.5"/>
    <n v="1810938.9"/>
    <n v="356113.4"/>
    <n v="24.48"/>
    <x v="1"/>
    <n v="0.26979999999999998"/>
    <n v="0.72"/>
  </r>
  <r>
    <s v="AXE-0290"/>
    <s v="2022-11-23"/>
    <s v="PFE"/>
    <s v="Pfizer Inc."/>
    <x v="2"/>
    <x v="4"/>
    <x v="1"/>
    <n v="52.47"/>
    <n v="50.4"/>
    <n v="466"/>
    <n v="24451.02"/>
    <n v="23486.400000000001"/>
    <n v="-964.62"/>
    <n v="-3.95"/>
    <x v="0"/>
    <n v="0.48509999999999998"/>
    <n v="1.38"/>
  </r>
  <r>
    <s v="AXE-0291"/>
    <s v="2022-09-07"/>
    <s v="AMZN"/>
    <s v="Amazon.com"/>
    <x v="6"/>
    <x v="3"/>
    <x v="1"/>
    <n v="137.65"/>
    <n v="162.21"/>
    <n v="1411"/>
    <n v="194224.15"/>
    <n v="228878.31"/>
    <n v="34654.160000000003"/>
    <n v="17.84"/>
    <x v="2"/>
    <n v="0.31869999999999998"/>
    <n v="1.56"/>
  </r>
  <r>
    <s v="AXE-0292"/>
    <s v="2022-07-10"/>
    <s v="AMZN"/>
    <s v="Amazon.com"/>
    <x v="6"/>
    <x v="2"/>
    <x v="1"/>
    <n v="155.33000000000001"/>
    <n v="232.71"/>
    <n v="339"/>
    <n v="52656.87"/>
    <n v="78888.69"/>
    <n v="26231.82"/>
    <n v="49.82"/>
    <x v="1"/>
    <n v="0.31330000000000002"/>
    <n v="1.1200000000000001"/>
  </r>
  <r>
    <s v="AXE-0293"/>
    <s v="2023-12-23"/>
    <s v="AAPL"/>
    <s v="Apple Inc."/>
    <x v="0"/>
    <x v="0"/>
    <x v="2"/>
    <n v="188.25"/>
    <n v="186.75"/>
    <n v="2380"/>
    <n v="448035"/>
    <n v="444465"/>
    <n v="-3570"/>
    <n v="-0.8"/>
    <x v="0"/>
    <n v="0.1469"/>
    <n v="0.72"/>
  </r>
  <r>
    <s v="AXE-0294"/>
    <s v="2022-07-11"/>
    <s v="BA"/>
    <s v="Boeing Co."/>
    <x v="1"/>
    <x v="4"/>
    <x v="3"/>
    <n v="207.33"/>
    <n v="220.53"/>
    <n v="1714"/>
    <n v="355363.62"/>
    <n v="377988.42"/>
    <n v="22624.799999999999"/>
    <n v="6.37"/>
    <x v="0"/>
    <n v="0.4909"/>
    <n v="1.23"/>
  </r>
  <r>
    <s v="AXE-0295"/>
    <s v="2023-09-04"/>
    <s v="CVX"/>
    <s v="Chevron Corp."/>
    <x v="3"/>
    <x v="3"/>
    <x v="1"/>
    <n v="164.18"/>
    <n v="184.46"/>
    <n v="3315"/>
    <n v="544256.69999999995"/>
    <n v="611484.9"/>
    <n v="67228.2"/>
    <n v="12.35"/>
    <x v="2"/>
    <n v="0.48359999999999997"/>
    <n v="1.34"/>
  </r>
  <r>
    <s v="AXE-0296"/>
    <s v="2023-09-22"/>
    <s v="XOM"/>
    <s v="Exxon Mobil"/>
    <x v="3"/>
    <x v="0"/>
    <x v="1"/>
    <n v="92.96"/>
    <n v="101.68"/>
    <n v="2665"/>
    <n v="247738.4"/>
    <n v="270977.2"/>
    <n v="23238.799999999999"/>
    <n v="9.3800000000000008"/>
    <x v="2"/>
    <n v="0.19869999999999999"/>
    <n v="1.43"/>
  </r>
  <r>
    <s v="AXE-0297"/>
    <s v="2023-02-02"/>
    <s v="NFLX"/>
    <s v="Netflix Inc."/>
    <x v="5"/>
    <x v="3"/>
    <x v="1"/>
    <n v="460.1"/>
    <n v="541.14"/>
    <n v="1229"/>
    <n v="565462.9"/>
    <n v="665061.06000000006"/>
    <n v="99598.16"/>
    <n v="17.61"/>
    <x v="2"/>
    <n v="0.32929999999999998"/>
    <n v="1.24"/>
  </r>
  <r>
    <s v="AXE-0298"/>
    <s v="2023-07-23"/>
    <s v="AMZN"/>
    <s v="Amazon.com"/>
    <x v="6"/>
    <x v="2"/>
    <x v="1"/>
    <n v="129.35"/>
    <n v="142.31"/>
    <n v="2466"/>
    <n v="318977.09999999998"/>
    <n v="350936.46"/>
    <n v="31959.360000000001"/>
    <n v="10.02"/>
    <x v="2"/>
    <n v="0.31390000000000001"/>
    <n v="0.66"/>
  </r>
  <r>
    <s v="AXE-0299"/>
    <s v="2022-01-10"/>
    <s v="OXY"/>
    <s v="Occidental Pet."/>
    <x v="3"/>
    <x v="0"/>
    <x v="2"/>
    <n v="71.150000000000006"/>
    <n v="75.66"/>
    <n v="1698"/>
    <n v="120812.7"/>
    <n v="128470.68"/>
    <n v="7657.98"/>
    <n v="6.34"/>
    <x v="0"/>
    <n v="0.33729999999999999"/>
    <n v="1.19"/>
  </r>
  <r>
    <s v="AXE-0300"/>
    <s v="2023-03-02"/>
    <s v="BLK"/>
    <s v="BlackRock"/>
    <x v="4"/>
    <x v="2"/>
    <x v="2"/>
    <n v="682.34"/>
    <n v="432.74"/>
    <n v="1470"/>
    <n v="1003039.8"/>
    <n v="636127.80000000005"/>
    <n v="-366912"/>
    <n v="-36.58"/>
    <x v="1"/>
    <n v="0.44729999999999998"/>
    <n v="0.95"/>
  </r>
  <r>
    <s v="AXE-0301"/>
    <s v="2022-08-19"/>
    <s v="GS"/>
    <s v="Goldman Sachs"/>
    <x v="4"/>
    <x v="0"/>
    <x v="0"/>
    <n v="387.48"/>
    <n v="550.53"/>
    <n v="3846"/>
    <n v="1490248.08"/>
    <n v="2117338.38"/>
    <n v="627090.30000000005"/>
    <n v="42.08"/>
    <x v="1"/>
    <n v="0.33300000000000002"/>
    <n v="1.21"/>
  </r>
  <r>
    <s v="AXE-0302"/>
    <s v="2022-04-27"/>
    <s v="CAT"/>
    <s v="Caterpillar"/>
    <x v="1"/>
    <x v="3"/>
    <x v="0"/>
    <n v="243.03"/>
    <n v="342.61"/>
    <n v="3105"/>
    <n v="754608.15"/>
    <n v="1063804.05"/>
    <n v="309195.90000000002"/>
    <n v="40.97"/>
    <x v="1"/>
    <n v="0.44679999999999997"/>
    <n v="1.1299999999999999"/>
  </r>
  <r>
    <s v="AXE-0303"/>
    <s v="2023-03-12"/>
    <s v="TSLA"/>
    <s v="Tesla Inc."/>
    <x v="6"/>
    <x v="0"/>
    <x v="1"/>
    <n v="244.74"/>
    <n v="220.89"/>
    <n v="2538"/>
    <n v="621150.12"/>
    <n v="560618.81999999995"/>
    <n v="-60531.3"/>
    <n v="-9.75"/>
    <x v="2"/>
    <n v="0.23300000000000001"/>
    <n v="1.63"/>
  </r>
  <r>
    <s v="AXE-0304"/>
    <s v="2023-03-26"/>
    <s v="GOOGL"/>
    <s v="Alphabet Inc."/>
    <x v="0"/>
    <x v="0"/>
    <x v="1"/>
    <n v="153.05000000000001"/>
    <n v="197.67"/>
    <n v="1819"/>
    <n v="278397.95"/>
    <n v="359561.73"/>
    <n v="81163.78"/>
    <n v="29.15"/>
    <x v="1"/>
    <n v="0.27079999999999999"/>
    <n v="1.45"/>
  </r>
  <r>
    <s v="AXE-0305"/>
    <s v="2022-06-19"/>
    <s v="LLY"/>
    <s v="Eli Lilly"/>
    <x v="2"/>
    <x v="0"/>
    <x v="1"/>
    <n v="600.4"/>
    <n v="767.94"/>
    <n v="1795"/>
    <n v="1077718"/>
    <n v="1378452.3"/>
    <n v="300734.3"/>
    <n v="27.9"/>
    <x v="1"/>
    <n v="0.34889999999999999"/>
    <n v="1.32"/>
  </r>
  <r>
    <s v="AXE-0306"/>
    <s v="2022-11-28"/>
    <s v="AMZN"/>
    <s v="Amazon.com"/>
    <x v="6"/>
    <x v="4"/>
    <x v="0"/>
    <n v="134.88"/>
    <n v="199.7"/>
    <n v="4791"/>
    <n v="646210.07999999996"/>
    <n v="956762.7"/>
    <n v="310552.62"/>
    <n v="48.06"/>
    <x v="1"/>
    <n v="0.54379999999999995"/>
    <n v="1.42"/>
  </r>
  <r>
    <s v="AXE-0307"/>
    <s v="2022-05-19"/>
    <s v="NVDA"/>
    <s v="NVIDIA Corp."/>
    <x v="0"/>
    <x v="1"/>
    <x v="1"/>
    <n v="666.07"/>
    <n v="645.29999999999995"/>
    <n v="2371"/>
    <n v="1579251.97"/>
    <n v="1530006.3"/>
    <n v="-49245.67"/>
    <n v="-3.12"/>
    <x v="0"/>
    <n v="0.4924"/>
    <n v="0.9"/>
  </r>
  <r>
    <s v="AXE-0308"/>
    <s v="2022-09-11"/>
    <s v="CVX"/>
    <s v="Chevron Corp."/>
    <x v="3"/>
    <x v="2"/>
    <x v="1"/>
    <n v="163.72"/>
    <n v="174.87"/>
    <n v="1264"/>
    <n v="206942.07999999999"/>
    <n v="221035.68"/>
    <n v="14093.6"/>
    <n v="6.81"/>
    <x v="0"/>
    <n v="0.29809999999999998"/>
    <n v="1.1399999999999999"/>
  </r>
  <r>
    <s v="AXE-0309"/>
    <s v="2023-02-17"/>
    <s v="GOOGL"/>
    <s v="Alphabet Inc."/>
    <x v="0"/>
    <x v="4"/>
    <x v="0"/>
    <n v="158.91"/>
    <n v="176.25"/>
    <n v="3824"/>
    <n v="607671.84"/>
    <n v="673980"/>
    <n v="66308.160000000003"/>
    <n v="10.91"/>
    <x v="2"/>
    <n v="0.1211"/>
    <n v="1.53"/>
  </r>
  <r>
    <s v="AXE-0310"/>
    <s v="2023-04-15"/>
    <s v="GOOGL"/>
    <s v="Alphabet Inc."/>
    <x v="0"/>
    <x v="1"/>
    <x v="3"/>
    <n v="135.69999999999999"/>
    <n v="211.38"/>
    <n v="4478"/>
    <n v="607664.6"/>
    <n v="946559.64"/>
    <n v="338895.04"/>
    <n v="55.77"/>
    <x v="1"/>
    <n v="0.47470000000000001"/>
    <n v="1.19"/>
  </r>
  <r>
    <s v="AXE-0311"/>
    <s v="2022-10-18"/>
    <s v="CVX"/>
    <s v="Chevron Corp."/>
    <x v="3"/>
    <x v="3"/>
    <x v="3"/>
    <n v="142.27000000000001"/>
    <n v="210.09"/>
    <n v="4834"/>
    <n v="687733.18"/>
    <n v="1015575.06"/>
    <n v="327841.88"/>
    <n v="47.67"/>
    <x v="1"/>
    <n v="0.45900000000000002"/>
    <n v="1.67"/>
  </r>
  <r>
    <s v="AXE-0312"/>
    <s v="2022-02-17"/>
    <s v="MSFT"/>
    <s v="Microsoft Corp."/>
    <x v="0"/>
    <x v="2"/>
    <x v="1"/>
    <n v="283.93"/>
    <n v="420.32"/>
    <n v="233"/>
    <n v="66155.69"/>
    <n v="97934.56"/>
    <n v="31778.87"/>
    <n v="48.04"/>
    <x v="1"/>
    <n v="0.30980000000000002"/>
    <n v="0.6"/>
  </r>
  <r>
    <s v="AXE-0313"/>
    <s v="2022-07-27"/>
    <s v="LLY"/>
    <s v="Eli Lilly"/>
    <x v="2"/>
    <x v="4"/>
    <x v="1"/>
    <n v="611.78"/>
    <n v="913.76"/>
    <n v="1402"/>
    <n v="857715.56"/>
    <n v="1281091.52"/>
    <n v="423375.96"/>
    <n v="49.36"/>
    <x v="1"/>
    <n v="0.16009999999999999"/>
    <n v="1.03"/>
  </r>
  <r>
    <s v="AXE-0314"/>
    <s v="2023-01-16"/>
    <s v="GOOGL"/>
    <s v="Alphabet Inc."/>
    <x v="0"/>
    <x v="1"/>
    <x v="1"/>
    <n v="145.28"/>
    <n v="201.68"/>
    <n v="3346"/>
    <n v="486106.88"/>
    <n v="674821.28"/>
    <n v="188714.4"/>
    <n v="38.82"/>
    <x v="1"/>
    <n v="0.44469999999999998"/>
    <n v="1.1200000000000001"/>
  </r>
  <r>
    <s v="AXE-0315"/>
    <s v="2023-12-22"/>
    <s v="GOOGL"/>
    <s v="Alphabet Inc."/>
    <x v="0"/>
    <x v="1"/>
    <x v="1"/>
    <n v="139.03"/>
    <n v="135.26"/>
    <n v="1848"/>
    <n v="256927.44"/>
    <n v="249960.48"/>
    <n v="-6966.96"/>
    <n v="-2.71"/>
    <x v="0"/>
    <n v="0.21729999999999999"/>
    <n v="1.42"/>
  </r>
  <r>
    <s v="AXE-0316"/>
    <s v="2022-01-09"/>
    <s v="AAPL"/>
    <s v="Apple Inc."/>
    <x v="0"/>
    <x v="1"/>
    <x v="3"/>
    <n v="185.19"/>
    <n v="224.89"/>
    <n v="3559"/>
    <n v="659091.21"/>
    <n v="800383.51"/>
    <n v="141292.29999999999"/>
    <n v="21.44"/>
    <x v="2"/>
    <n v="0.21840000000000001"/>
    <n v="0.71"/>
  </r>
  <r>
    <s v="AXE-0317"/>
    <s v="2022-04-16"/>
    <s v="NVDA"/>
    <s v="NVIDIA Corp."/>
    <x v="0"/>
    <x v="4"/>
    <x v="3"/>
    <n v="534.67999999999995"/>
    <n v="760.01"/>
    <n v="2551"/>
    <n v="1363968.68"/>
    <n v="1938785.51"/>
    <n v="574816.82999999996"/>
    <n v="42.14"/>
    <x v="1"/>
    <n v="0.44390000000000002"/>
    <n v="0.76"/>
  </r>
  <r>
    <s v="AXE-0318"/>
    <s v="2022-03-12"/>
    <s v="META"/>
    <s v="Meta Platforms"/>
    <x v="0"/>
    <x v="3"/>
    <x v="1"/>
    <n v="343.71"/>
    <n v="476.28"/>
    <n v="1444"/>
    <n v="496317.24"/>
    <n v="687748.32"/>
    <n v="191431.08"/>
    <n v="38.57"/>
    <x v="1"/>
    <n v="0.3901"/>
    <n v="0.78"/>
  </r>
  <r>
    <s v="AXE-0319"/>
    <s v="2023-09-23"/>
    <s v="LLY"/>
    <s v="Eli Lilly"/>
    <x v="2"/>
    <x v="0"/>
    <x v="2"/>
    <n v="615.44000000000005"/>
    <n v="421.21"/>
    <n v="810"/>
    <n v="498506.4"/>
    <n v="341180.1"/>
    <n v="-157326.29999999999"/>
    <n v="-31.56"/>
    <x v="1"/>
    <n v="0.17299999999999999"/>
    <n v="1.48"/>
  </r>
  <r>
    <s v="AXE-0320"/>
    <s v="2023-03-16"/>
    <s v="OXY"/>
    <s v="Occidental Pet."/>
    <x v="3"/>
    <x v="0"/>
    <x v="3"/>
    <n v="60.65"/>
    <n v="56.95"/>
    <n v="2129"/>
    <n v="129123.85"/>
    <n v="121246.55"/>
    <n v="-7877.3"/>
    <n v="-6.1"/>
    <x v="0"/>
    <n v="0.35799999999999998"/>
    <n v="1.32"/>
  </r>
  <r>
    <s v="AXE-0321"/>
    <s v="2022-10-19"/>
    <s v="MS"/>
    <s v="Morgan Stanley"/>
    <x v="4"/>
    <x v="4"/>
    <x v="1"/>
    <n v="90.48"/>
    <n v="111.89"/>
    <n v="1783"/>
    <n v="161325.84"/>
    <n v="199499.87"/>
    <n v="38174.03"/>
    <n v="23.66"/>
    <x v="1"/>
    <n v="0.44159999999999999"/>
    <n v="0.95"/>
  </r>
  <r>
    <s v="AXE-0322"/>
    <s v="2022-09-03"/>
    <s v="MSFT"/>
    <s v="Microsoft Corp."/>
    <x v="0"/>
    <x v="2"/>
    <x v="2"/>
    <n v="295.14"/>
    <n v="269.62"/>
    <n v="1023"/>
    <n v="301928.21999999997"/>
    <n v="275821.26"/>
    <n v="-26106.959999999999"/>
    <n v="-8.65"/>
    <x v="2"/>
    <n v="0.15049999999999999"/>
    <n v="1.67"/>
  </r>
  <r>
    <s v="AXE-0323"/>
    <s v="2023-01-05"/>
    <s v="AAPL"/>
    <s v="Apple Inc."/>
    <x v="0"/>
    <x v="0"/>
    <x v="3"/>
    <n v="193.94"/>
    <n v="247.83"/>
    <n v="3268"/>
    <n v="633795.92000000004"/>
    <n v="809908.44"/>
    <n v="176112.52"/>
    <n v="27.79"/>
    <x v="1"/>
    <n v="0.27710000000000001"/>
    <n v="1.42"/>
  </r>
  <r>
    <s v="AXE-0324"/>
    <s v="2022-03-16"/>
    <s v="BLK"/>
    <s v="BlackRock"/>
    <x v="4"/>
    <x v="3"/>
    <x v="1"/>
    <n v="666.23"/>
    <n v="686.9"/>
    <n v="653"/>
    <n v="435048.19"/>
    <n v="448545.7"/>
    <n v="13497.51"/>
    <n v="3.1"/>
    <x v="0"/>
    <n v="0.51670000000000005"/>
    <n v="1.74"/>
  </r>
  <r>
    <s v="AXE-0325"/>
    <s v="2023-06-03"/>
    <s v="JNJ"/>
    <s v="J&amp;J"/>
    <x v="2"/>
    <x v="3"/>
    <x v="0"/>
    <n v="161.22"/>
    <n v="187.27"/>
    <n v="3503"/>
    <n v="564753.66"/>
    <n v="656006.81000000006"/>
    <n v="91253.15"/>
    <n v="16.16"/>
    <x v="2"/>
    <n v="0.39539999999999997"/>
    <n v="1.25"/>
  </r>
  <r>
    <s v="AXE-0326"/>
    <s v="2022-10-12"/>
    <s v="META"/>
    <s v="Meta Platforms"/>
    <x v="0"/>
    <x v="4"/>
    <x v="1"/>
    <n v="351.19"/>
    <n v="359"/>
    <n v="747"/>
    <n v="262338.93"/>
    <n v="268173"/>
    <n v="5834.07"/>
    <n v="2.2200000000000002"/>
    <x v="0"/>
    <n v="0.46750000000000003"/>
    <n v="1.24"/>
  </r>
  <r>
    <s v="AXE-0327"/>
    <s v="2023-08-24"/>
    <s v="JNJ"/>
    <s v="J&amp;J"/>
    <x v="2"/>
    <x v="4"/>
    <x v="1"/>
    <n v="176.38"/>
    <n v="259.72000000000003"/>
    <n v="3683"/>
    <n v="649607.54"/>
    <n v="956548.76"/>
    <n v="306941.21999999997"/>
    <n v="47.25"/>
    <x v="1"/>
    <n v="0.1449"/>
    <n v="0.7"/>
  </r>
  <r>
    <s v="AXE-0328"/>
    <s v="2022-04-29"/>
    <s v="LLY"/>
    <s v="Eli Lilly"/>
    <x v="2"/>
    <x v="3"/>
    <x v="2"/>
    <n v="518.53"/>
    <n v="498.4"/>
    <n v="550"/>
    <n v="285191.5"/>
    <n v="274120"/>
    <n v="-11071.5"/>
    <n v="-3.88"/>
    <x v="0"/>
    <n v="0.4385"/>
    <n v="0.74"/>
  </r>
  <r>
    <s v="AXE-0329"/>
    <s v="2023-12-20"/>
    <s v="META"/>
    <s v="Meta Platforms"/>
    <x v="0"/>
    <x v="0"/>
    <x v="1"/>
    <n v="397.57"/>
    <n v="495.41"/>
    <n v="4166"/>
    <n v="1656276.62"/>
    <n v="2063878.06"/>
    <n v="407601.44"/>
    <n v="24.61"/>
    <x v="1"/>
    <n v="0.45669999999999999"/>
    <n v="1.46"/>
  </r>
  <r>
    <s v="AXE-0330"/>
    <s v="2023-01-16"/>
    <s v="AMZN"/>
    <s v="Amazon.com"/>
    <x v="6"/>
    <x v="4"/>
    <x v="1"/>
    <n v="156.81"/>
    <n v="141.22"/>
    <n v="1067"/>
    <n v="167316.26999999999"/>
    <n v="150681.74"/>
    <n v="-16634.53"/>
    <n v="-9.94"/>
    <x v="2"/>
    <n v="0.46710000000000002"/>
    <n v="0.93"/>
  </r>
  <r>
    <s v="AXE-0331"/>
    <s v="2022-09-27"/>
    <s v="GOOGL"/>
    <s v="Alphabet Inc."/>
    <x v="0"/>
    <x v="2"/>
    <x v="1"/>
    <n v="140.44999999999999"/>
    <n v="129.05000000000001"/>
    <n v="3828"/>
    <n v="537642.6"/>
    <n v="494003.4"/>
    <n v="-43639.199999999997"/>
    <n v="-8.1199999999999992"/>
    <x v="2"/>
    <n v="0.48949999999999999"/>
    <n v="0.8"/>
  </r>
  <r>
    <s v="AXE-0332"/>
    <s v="2022-09-19"/>
    <s v="AMZN"/>
    <s v="Amazon.com"/>
    <x v="6"/>
    <x v="3"/>
    <x v="1"/>
    <n v="133.19"/>
    <n v="164.65"/>
    <n v="1044"/>
    <n v="139050.35999999999"/>
    <n v="171894.6"/>
    <n v="32844.239999999998"/>
    <n v="23.62"/>
    <x v="1"/>
    <n v="0.1389"/>
    <n v="1.64"/>
  </r>
  <r>
    <s v="AXE-0333"/>
    <s v="2022-02-17"/>
    <s v="JPM"/>
    <s v="JPMorgan Chase"/>
    <x v="4"/>
    <x v="4"/>
    <x v="2"/>
    <n v="174.54"/>
    <n v="122.58"/>
    <n v="3237"/>
    <n v="564985.98"/>
    <n v="396791.46"/>
    <n v="-168194.52"/>
    <n v="-29.77"/>
    <x v="1"/>
    <n v="0.53290000000000004"/>
    <n v="0.64"/>
  </r>
  <r>
    <s v="AXE-0334"/>
    <s v="2022-08-18"/>
    <s v="LLY"/>
    <s v="Eli Lilly"/>
    <x v="2"/>
    <x v="0"/>
    <x v="3"/>
    <n v="618.62"/>
    <n v="682.93"/>
    <n v="3509"/>
    <n v="2170737.58"/>
    <n v="2396401.37"/>
    <n v="225663.79"/>
    <n v="10.4"/>
    <x v="2"/>
    <n v="0.47520000000000001"/>
    <n v="1.29"/>
  </r>
  <r>
    <s v="AXE-0335"/>
    <s v="2023-05-30"/>
    <s v="NVDA"/>
    <s v="NVIDIA Corp."/>
    <x v="0"/>
    <x v="0"/>
    <x v="1"/>
    <n v="654.78"/>
    <n v="1026.03"/>
    <n v="1928"/>
    <n v="1262415.8400000001"/>
    <n v="1978185.84"/>
    <n v="715770"/>
    <n v="56.7"/>
    <x v="1"/>
    <n v="0.53029999999999999"/>
    <n v="0.68"/>
  </r>
  <r>
    <s v="AXE-0336"/>
    <s v="2022-10-17"/>
    <s v="PFE"/>
    <s v="Pfizer Inc."/>
    <x v="2"/>
    <x v="4"/>
    <x v="0"/>
    <n v="48.76"/>
    <n v="43.18"/>
    <n v="807"/>
    <n v="39349.32"/>
    <n v="34846.26"/>
    <n v="-4503.0600000000004"/>
    <n v="-11.44"/>
    <x v="2"/>
    <n v="0.20630000000000001"/>
    <n v="1.28"/>
  </r>
  <r>
    <s v="AXE-0337"/>
    <s v="2023-09-30"/>
    <s v="XOM"/>
    <s v="Exxon Mobil"/>
    <x v="3"/>
    <x v="2"/>
    <x v="2"/>
    <n v="107.89"/>
    <n v="91.38"/>
    <n v="3116"/>
    <n v="336185.24"/>
    <n v="284740.08"/>
    <n v="-51445.16"/>
    <n v="-15.3"/>
    <x v="2"/>
    <n v="0.45219999999999999"/>
    <n v="0.83"/>
  </r>
  <r>
    <s v="AXE-0338"/>
    <s v="2022-09-09"/>
    <s v="BA"/>
    <s v="Boeing Co."/>
    <x v="1"/>
    <x v="1"/>
    <x v="1"/>
    <n v="180.01"/>
    <n v="226.65"/>
    <n v="3459"/>
    <n v="622654.59"/>
    <n v="783982.35"/>
    <n v="161327.76"/>
    <n v="25.91"/>
    <x v="1"/>
    <n v="0.39350000000000002"/>
    <n v="1.43"/>
  </r>
  <r>
    <s v="AXE-0339"/>
    <s v="2022-12-10"/>
    <s v="AAPL"/>
    <s v="Apple Inc."/>
    <x v="0"/>
    <x v="2"/>
    <x v="1"/>
    <n v="154.21"/>
    <n v="192.9"/>
    <n v="2619"/>
    <n v="403875.99"/>
    <n v="505205.1"/>
    <n v="101329.11"/>
    <n v="25.09"/>
    <x v="1"/>
    <n v="0.22239999999999999"/>
    <n v="1.19"/>
  </r>
  <r>
    <s v="AXE-0340"/>
    <s v="2022-05-26"/>
    <s v="MSFT"/>
    <s v="Microsoft Corp."/>
    <x v="0"/>
    <x v="1"/>
    <x v="0"/>
    <n v="360.44"/>
    <n v="543.58000000000004"/>
    <n v="459"/>
    <n v="165441.96"/>
    <n v="249503.22"/>
    <n v="84061.26"/>
    <n v="50.81"/>
    <x v="1"/>
    <n v="0.34350000000000003"/>
    <n v="1.44"/>
  </r>
  <r>
    <s v="AXE-0341"/>
    <s v="2023-04-15"/>
    <s v="OXY"/>
    <s v="Occidental Pet."/>
    <x v="3"/>
    <x v="3"/>
    <x v="1"/>
    <n v="65.11"/>
    <n v="86.34"/>
    <n v="882"/>
    <n v="57427.02"/>
    <n v="76151.88"/>
    <n v="18724.86"/>
    <n v="32.61"/>
    <x v="1"/>
    <n v="0.28960000000000002"/>
    <n v="1.31"/>
  </r>
  <r>
    <s v="AXE-0342"/>
    <s v="2023-03-22"/>
    <s v="MSFT"/>
    <s v="Microsoft Corp."/>
    <x v="0"/>
    <x v="0"/>
    <x v="1"/>
    <n v="297.06"/>
    <n v="326.92"/>
    <n v="2489"/>
    <n v="739382.34"/>
    <n v="813703.88"/>
    <n v="74321.539999999994"/>
    <n v="10.050000000000001"/>
    <x v="2"/>
    <n v="0.46439999999999998"/>
    <n v="1.44"/>
  </r>
  <r>
    <s v="AXE-0343"/>
    <s v="2022-11-22"/>
    <s v="CVX"/>
    <s v="Chevron Corp."/>
    <x v="3"/>
    <x v="4"/>
    <x v="2"/>
    <n v="139.58000000000001"/>
    <n v="99.56"/>
    <n v="2013"/>
    <n v="280974.53999999998"/>
    <n v="200414.28"/>
    <n v="-80560.259999999995"/>
    <n v="-28.67"/>
    <x v="1"/>
    <n v="0.45540000000000003"/>
    <n v="1.3"/>
  </r>
  <r>
    <s v="AXE-0344"/>
    <s v="2022-04-19"/>
    <s v="META"/>
    <s v="Meta Platforms"/>
    <x v="0"/>
    <x v="2"/>
    <x v="1"/>
    <n v="330.47"/>
    <n v="318.74"/>
    <n v="3917"/>
    <n v="1294450.99"/>
    <n v="1248504.58"/>
    <n v="-45946.41"/>
    <n v="-3.55"/>
    <x v="0"/>
    <n v="0.27410000000000001"/>
    <n v="1.52"/>
  </r>
  <r>
    <s v="AXE-0345"/>
    <s v="2022-11-12"/>
    <s v="PFE"/>
    <s v="Pfizer Inc."/>
    <x v="2"/>
    <x v="4"/>
    <x v="2"/>
    <n v="42.1"/>
    <n v="41.74"/>
    <n v="1082"/>
    <n v="45552.2"/>
    <n v="45162.68"/>
    <n v="-389.52"/>
    <n v="-0.86"/>
    <x v="0"/>
    <n v="0.25080000000000002"/>
    <n v="1.45"/>
  </r>
  <r>
    <s v="AXE-0346"/>
    <s v="2022-02-11"/>
    <s v="MS"/>
    <s v="Morgan Stanley"/>
    <x v="4"/>
    <x v="4"/>
    <x v="2"/>
    <n v="78.959999999999994"/>
    <n v="57.97"/>
    <n v="1315"/>
    <n v="103832.4"/>
    <n v="76230.55"/>
    <n v="-27601.85"/>
    <n v="-26.58"/>
    <x v="1"/>
    <n v="0.27300000000000002"/>
    <n v="1.22"/>
  </r>
  <r>
    <s v="AXE-0347"/>
    <s v="2022-09-24"/>
    <s v="XOM"/>
    <s v="Exxon Mobil"/>
    <x v="3"/>
    <x v="1"/>
    <x v="1"/>
    <n v="116.17"/>
    <n v="147.44"/>
    <n v="3412"/>
    <n v="396372.04"/>
    <n v="503065.28"/>
    <n v="106693.24"/>
    <n v="26.92"/>
    <x v="1"/>
    <n v="0.35659999999999997"/>
    <n v="0.71"/>
  </r>
  <r>
    <s v="AXE-0348"/>
    <s v="2022-05-24"/>
    <s v="NVDA"/>
    <s v="NVIDIA Corp."/>
    <x v="0"/>
    <x v="1"/>
    <x v="1"/>
    <n v="659.47"/>
    <n v="1033.92"/>
    <n v="605"/>
    <n v="398979.35"/>
    <n v="625521.6"/>
    <n v="226542.25"/>
    <n v="56.78"/>
    <x v="1"/>
    <n v="0.1762"/>
    <n v="1.59"/>
  </r>
  <r>
    <s v="AXE-0349"/>
    <s v="2023-12-04"/>
    <s v="OXY"/>
    <s v="Occidental Pet."/>
    <x v="3"/>
    <x v="3"/>
    <x v="1"/>
    <n v="60.3"/>
    <n v="87.37"/>
    <n v="4901"/>
    <n v="295530.3"/>
    <n v="428200.37"/>
    <n v="132670.07"/>
    <n v="44.89"/>
    <x v="1"/>
    <n v="0.12939999999999999"/>
    <n v="0.68"/>
  </r>
  <r>
    <s v="AXE-0350"/>
    <s v="2022-05-12"/>
    <s v="PFE"/>
    <s v="Pfizer Inc."/>
    <x v="2"/>
    <x v="4"/>
    <x v="1"/>
    <n v="41.41"/>
    <n v="49.8"/>
    <n v="1103"/>
    <n v="45675.23"/>
    <n v="54929.4"/>
    <n v="9254.17"/>
    <n v="20.260000000000002"/>
    <x v="2"/>
    <n v="0.19220000000000001"/>
    <n v="1.29"/>
  </r>
  <r>
    <s v="AXE-0351"/>
    <s v="2023-05-24"/>
    <s v="JNJ"/>
    <s v="J&amp;J"/>
    <x v="2"/>
    <x v="2"/>
    <x v="1"/>
    <n v="148.80000000000001"/>
    <n v="153.31"/>
    <n v="3595"/>
    <n v="534936"/>
    <n v="551149.44999999995"/>
    <n v="16213.45"/>
    <n v="3.03"/>
    <x v="0"/>
    <n v="0.20050000000000001"/>
    <n v="0.94"/>
  </r>
  <r>
    <s v="AXE-0352"/>
    <s v="2022-02-05"/>
    <s v="META"/>
    <s v="Meta Platforms"/>
    <x v="0"/>
    <x v="4"/>
    <x v="2"/>
    <n v="340.76"/>
    <n v="297.58999999999997"/>
    <n v="4186"/>
    <n v="1426421.36"/>
    <n v="1245711.74"/>
    <n v="-180709.62"/>
    <n v="-12.67"/>
    <x v="2"/>
    <n v="0.1462"/>
    <n v="0.94"/>
  </r>
  <r>
    <s v="AXE-0353"/>
    <s v="2023-03-06"/>
    <s v="META"/>
    <s v="Meta Platforms"/>
    <x v="0"/>
    <x v="3"/>
    <x v="2"/>
    <n v="363.73"/>
    <n v="359.73"/>
    <n v="2141"/>
    <n v="778745.93"/>
    <n v="770181.93"/>
    <n v="-8564"/>
    <n v="-1.1000000000000001"/>
    <x v="0"/>
    <n v="0.46179999999999999"/>
    <n v="1.79"/>
  </r>
  <r>
    <s v="AXE-0354"/>
    <s v="2023-05-07"/>
    <s v="OXY"/>
    <s v="Occidental Pet."/>
    <x v="3"/>
    <x v="4"/>
    <x v="2"/>
    <n v="65.05"/>
    <n v="51.95"/>
    <n v="4733"/>
    <n v="307881.65000000002"/>
    <n v="245879.35"/>
    <n v="-62002.3"/>
    <n v="-20.14"/>
    <x v="2"/>
    <n v="0.1973"/>
    <n v="0.98"/>
  </r>
  <r>
    <s v="AXE-0355"/>
    <s v="2022-01-31"/>
    <s v="JPM"/>
    <s v="JPMorgan Chase"/>
    <x v="4"/>
    <x v="1"/>
    <x v="0"/>
    <n v="156.37"/>
    <n v="221.54"/>
    <n v="3964"/>
    <n v="619850.68000000005"/>
    <n v="878184.56"/>
    <n v="258333.88"/>
    <n v="41.68"/>
    <x v="1"/>
    <n v="0.54979999999999996"/>
    <n v="1.77"/>
  </r>
  <r>
    <s v="AXE-0356"/>
    <s v="2022-09-11"/>
    <s v="NVDA"/>
    <s v="NVIDIA Corp."/>
    <x v="0"/>
    <x v="4"/>
    <x v="2"/>
    <n v="656.93"/>
    <n v="684.48"/>
    <n v="4471"/>
    <n v="2937134.03"/>
    <n v="3060310.08"/>
    <n v="123176.05"/>
    <n v="4.1900000000000004"/>
    <x v="0"/>
    <n v="0.14399999999999999"/>
    <n v="1.8"/>
  </r>
  <r>
    <s v="AXE-0357"/>
    <s v="2023-08-13"/>
    <s v="JPM"/>
    <s v="JPMorgan Chase"/>
    <x v="4"/>
    <x v="4"/>
    <x v="1"/>
    <n v="139.94"/>
    <n v="181.19"/>
    <n v="1523"/>
    <n v="213128.62"/>
    <n v="275952.37"/>
    <n v="62823.75"/>
    <n v="29.48"/>
    <x v="1"/>
    <n v="0.4667"/>
    <n v="1.44"/>
  </r>
  <r>
    <s v="AXE-0358"/>
    <s v="2022-01-29"/>
    <s v="CAT"/>
    <s v="Caterpillar"/>
    <x v="1"/>
    <x v="3"/>
    <x v="3"/>
    <n v="214.23"/>
    <n v="330.74"/>
    <n v="4717"/>
    <n v="1010522.91"/>
    <n v="1560100.58"/>
    <n v="549577.67000000004"/>
    <n v="54.39"/>
    <x v="1"/>
    <n v="0.4798"/>
    <n v="1.57"/>
  </r>
  <r>
    <s v="AXE-0359"/>
    <s v="2023-07-10"/>
    <s v="BLK"/>
    <s v="BlackRock"/>
    <x v="4"/>
    <x v="0"/>
    <x v="0"/>
    <n v="671.88"/>
    <n v="617.66999999999996"/>
    <n v="4117"/>
    <n v="2766129.96"/>
    <n v="2542947.39"/>
    <n v="-223182.57"/>
    <n v="-8.07"/>
    <x v="2"/>
    <n v="0.37869999999999998"/>
    <n v="0.62"/>
  </r>
  <r>
    <s v="AXE-0360"/>
    <s v="2022-01-01"/>
    <s v="BLK"/>
    <s v="BlackRock"/>
    <x v="4"/>
    <x v="3"/>
    <x v="3"/>
    <n v="851.71"/>
    <n v="952.66"/>
    <n v="1750"/>
    <n v="1490492.5"/>
    <n v="1667155"/>
    <n v="176662.5"/>
    <n v="11.85"/>
    <x v="2"/>
    <n v="0.1963"/>
    <n v="1.56"/>
  </r>
  <r>
    <s v="AXE-0361"/>
    <s v="2022-03-02"/>
    <s v="CVX"/>
    <s v="Chevron Corp."/>
    <x v="3"/>
    <x v="0"/>
    <x v="1"/>
    <n v="169.83"/>
    <n v="166.29"/>
    <n v="4905"/>
    <n v="833016.15"/>
    <n v="815652.45"/>
    <n v="-17363.7"/>
    <n v="-2.08"/>
    <x v="0"/>
    <n v="0.16769999999999999"/>
    <n v="1.23"/>
  </r>
  <r>
    <s v="AXE-0362"/>
    <s v="2022-03-16"/>
    <s v="OXY"/>
    <s v="Occidental Pet."/>
    <x v="3"/>
    <x v="2"/>
    <x v="3"/>
    <n v="57.22"/>
    <n v="62.44"/>
    <n v="4900"/>
    <n v="280378"/>
    <n v="305956"/>
    <n v="25578"/>
    <n v="9.1199999999999992"/>
    <x v="2"/>
    <n v="0.1787"/>
    <n v="0.79"/>
  </r>
  <r>
    <s v="AXE-0363"/>
    <s v="2023-10-17"/>
    <s v="LLY"/>
    <s v="Eli Lilly"/>
    <x v="2"/>
    <x v="4"/>
    <x v="2"/>
    <n v="584.19000000000005"/>
    <n v="513.22"/>
    <n v="1527"/>
    <n v="892058.13"/>
    <n v="783686.94"/>
    <n v="-108371.19"/>
    <n v="-12.15"/>
    <x v="2"/>
    <n v="0.50249999999999995"/>
    <n v="1.34"/>
  </r>
  <r>
    <s v="AXE-0364"/>
    <s v="2022-08-17"/>
    <s v="OXY"/>
    <s v="Occidental Pet."/>
    <x v="3"/>
    <x v="2"/>
    <x v="1"/>
    <n v="69.56"/>
    <n v="75.55"/>
    <n v="2613"/>
    <n v="181760.28"/>
    <n v="197412.15"/>
    <n v="15651.87"/>
    <n v="8.61"/>
    <x v="2"/>
    <n v="0.19639999999999999"/>
    <n v="0.6"/>
  </r>
  <r>
    <s v="AXE-0365"/>
    <s v="2023-02-05"/>
    <s v="CAT"/>
    <s v="Caterpillar"/>
    <x v="1"/>
    <x v="0"/>
    <x v="1"/>
    <n v="270.31"/>
    <n v="420.95"/>
    <n v="2706"/>
    <n v="731458.86"/>
    <n v="1139090.7"/>
    <n v="407631.84"/>
    <n v="55.73"/>
    <x v="1"/>
    <n v="0.215"/>
    <n v="1.28"/>
  </r>
  <r>
    <s v="AXE-0366"/>
    <s v="2022-05-25"/>
    <s v="BLK"/>
    <s v="BlackRock"/>
    <x v="4"/>
    <x v="1"/>
    <x v="3"/>
    <n v="744.15"/>
    <n v="821.29"/>
    <n v="2049"/>
    <n v="1524763.35"/>
    <n v="1682823.21"/>
    <n v="158059.85999999999"/>
    <n v="10.37"/>
    <x v="2"/>
    <n v="0.39360000000000001"/>
    <n v="1.76"/>
  </r>
  <r>
    <s v="AXE-0367"/>
    <s v="2023-04-03"/>
    <s v="CVX"/>
    <s v="Chevron Corp."/>
    <x v="3"/>
    <x v="4"/>
    <x v="1"/>
    <n v="147.97999999999999"/>
    <n v="137.24"/>
    <n v="1817"/>
    <n v="268879.65999999997"/>
    <n v="249365.08"/>
    <n v="-19514.580000000002"/>
    <n v="-7.26"/>
    <x v="0"/>
    <n v="0.23039999999999999"/>
    <n v="0.73"/>
  </r>
  <r>
    <s v="AXE-0368"/>
    <s v="2022-02-19"/>
    <s v="AAPL"/>
    <s v="Apple Inc."/>
    <x v="0"/>
    <x v="2"/>
    <x v="1"/>
    <n v="199.63"/>
    <n v="299.27999999999997"/>
    <n v="3537"/>
    <n v="706091.31"/>
    <n v="1058553.3600000001"/>
    <n v="352462.05"/>
    <n v="49.92"/>
    <x v="1"/>
    <n v="0.33200000000000002"/>
    <n v="1.05"/>
  </r>
  <r>
    <s v="AXE-0369"/>
    <s v="2023-01-20"/>
    <s v="BA"/>
    <s v="Boeing Co."/>
    <x v="1"/>
    <x v="2"/>
    <x v="1"/>
    <n v="219.51"/>
    <n v="298.76"/>
    <n v="4835"/>
    <n v="1061330.8500000001"/>
    <n v="1444504.6"/>
    <n v="383173.75"/>
    <n v="36.1"/>
    <x v="1"/>
    <n v="0.18990000000000001"/>
    <n v="0.69"/>
  </r>
  <r>
    <s v="AXE-0370"/>
    <s v="2022-10-29"/>
    <s v="MSFT"/>
    <s v="Microsoft Corp."/>
    <x v="0"/>
    <x v="4"/>
    <x v="1"/>
    <n v="363.36"/>
    <n v="338.63"/>
    <n v="2239"/>
    <n v="813563.04"/>
    <n v="758192.57"/>
    <n v="-55370.47"/>
    <n v="-6.81"/>
    <x v="0"/>
    <n v="0.19309999999999999"/>
    <n v="1.05"/>
  </r>
  <r>
    <s v="AXE-0371"/>
    <s v="2023-07-15"/>
    <s v="GOOGL"/>
    <s v="Alphabet Inc."/>
    <x v="0"/>
    <x v="4"/>
    <x v="1"/>
    <n v="160.38"/>
    <n v="241.41"/>
    <n v="4966"/>
    <n v="796447.08"/>
    <n v="1198842.06"/>
    <n v="402394.98"/>
    <n v="50.52"/>
    <x v="1"/>
    <n v="0.4229"/>
    <n v="1.1200000000000001"/>
  </r>
  <r>
    <s v="AXE-0372"/>
    <s v="2023-09-14"/>
    <s v="AMZN"/>
    <s v="Amazon.com"/>
    <x v="6"/>
    <x v="0"/>
    <x v="1"/>
    <n v="127.65"/>
    <n v="130.69999999999999"/>
    <n v="538"/>
    <n v="68675.7"/>
    <n v="70316.600000000006"/>
    <n v="1640.9"/>
    <n v="2.39"/>
    <x v="0"/>
    <n v="0.20169999999999999"/>
    <n v="1.44"/>
  </r>
  <r>
    <s v="AXE-0373"/>
    <s v="2022-09-29"/>
    <s v="BA"/>
    <s v="Boeing Co."/>
    <x v="1"/>
    <x v="4"/>
    <x v="0"/>
    <n v="184.54"/>
    <n v="213.15"/>
    <n v="2045"/>
    <n v="377384.3"/>
    <n v="435891.75"/>
    <n v="58507.45"/>
    <n v="15.5"/>
    <x v="2"/>
    <n v="0.35639999999999999"/>
    <n v="1.19"/>
  </r>
  <r>
    <s v="AXE-0374"/>
    <s v="2023-01-05"/>
    <s v="MSFT"/>
    <s v="Microsoft Corp."/>
    <x v="0"/>
    <x v="2"/>
    <x v="1"/>
    <n v="300.27999999999997"/>
    <n v="403.4"/>
    <n v="817"/>
    <n v="245328.76"/>
    <n v="329577.8"/>
    <n v="84249.04"/>
    <n v="34.340000000000003"/>
    <x v="1"/>
    <n v="0.37809999999999999"/>
    <n v="0.84"/>
  </r>
  <r>
    <s v="AXE-0375"/>
    <s v="2022-07-31"/>
    <s v="AAPL"/>
    <s v="Apple Inc."/>
    <x v="0"/>
    <x v="4"/>
    <x v="1"/>
    <n v="173.61"/>
    <n v="166.81"/>
    <n v="771"/>
    <n v="133853.31"/>
    <n v="128610.51"/>
    <n v="-5242.8"/>
    <n v="-3.92"/>
    <x v="0"/>
    <n v="0.45750000000000002"/>
    <n v="1.17"/>
  </r>
  <r>
    <s v="AXE-0376"/>
    <s v="2022-04-04"/>
    <s v="GS"/>
    <s v="Goldman Sachs"/>
    <x v="4"/>
    <x v="0"/>
    <x v="1"/>
    <n v="423.95"/>
    <n v="482.7"/>
    <n v="3139"/>
    <n v="1330779.05"/>
    <n v="1515195.3"/>
    <n v="184416.25"/>
    <n v="13.86"/>
    <x v="2"/>
    <n v="0.31169999999999998"/>
    <n v="0.92"/>
  </r>
  <r>
    <s v="AXE-0377"/>
    <s v="2022-09-27"/>
    <s v="PFE"/>
    <s v="Pfizer Inc."/>
    <x v="2"/>
    <x v="4"/>
    <x v="2"/>
    <n v="41.69"/>
    <n v="40.270000000000003"/>
    <n v="4722"/>
    <n v="196860.18"/>
    <n v="190154.94"/>
    <n v="-6705.24"/>
    <n v="-3.41"/>
    <x v="0"/>
    <n v="0.40699999999999997"/>
    <n v="0.7"/>
  </r>
  <r>
    <s v="AXE-0378"/>
    <s v="2023-07-09"/>
    <s v="OXY"/>
    <s v="Occidental Pet."/>
    <x v="3"/>
    <x v="3"/>
    <x v="1"/>
    <n v="66.05"/>
    <n v="97"/>
    <n v="1963"/>
    <n v="129656.15"/>
    <n v="190411"/>
    <n v="60754.85"/>
    <n v="46.86"/>
    <x v="1"/>
    <n v="0.47189999999999999"/>
    <n v="1.1000000000000001"/>
  </r>
  <r>
    <s v="AXE-0379"/>
    <s v="2023-12-05"/>
    <s v="BA"/>
    <s v="Boeing Co."/>
    <x v="1"/>
    <x v="3"/>
    <x v="2"/>
    <n v="208.5"/>
    <n v="136.84"/>
    <n v="2030"/>
    <n v="423255"/>
    <n v="277785.2"/>
    <n v="-145469.79999999999"/>
    <n v="-34.369999999999997"/>
    <x v="1"/>
    <n v="0.50819999999999999"/>
    <n v="1.46"/>
  </r>
  <r>
    <s v="AXE-0380"/>
    <s v="2023-08-08"/>
    <s v="NFLX"/>
    <s v="Netflix Inc."/>
    <x v="5"/>
    <x v="1"/>
    <x v="1"/>
    <n v="405.84"/>
    <n v="636.79"/>
    <n v="3778"/>
    <n v="1533263.52"/>
    <n v="2405792.62"/>
    <n v="872529.1"/>
    <n v="56.91"/>
    <x v="1"/>
    <n v="0.53800000000000003"/>
    <n v="1.57"/>
  </r>
  <r>
    <s v="AXE-0381"/>
    <s v="2022-02-13"/>
    <s v="META"/>
    <s v="Meta Platforms"/>
    <x v="0"/>
    <x v="1"/>
    <x v="1"/>
    <n v="318.7"/>
    <n v="463.96"/>
    <n v="3666"/>
    <n v="1168354.2"/>
    <n v="1700877.36"/>
    <n v="532523.16"/>
    <n v="45.58"/>
    <x v="1"/>
    <n v="0.18360000000000001"/>
    <n v="1.31"/>
  </r>
  <r>
    <s v="AXE-0382"/>
    <s v="2022-03-10"/>
    <s v="CVX"/>
    <s v="Chevron Corp."/>
    <x v="3"/>
    <x v="2"/>
    <x v="1"/>
    <n v="155.07"/>
    <n v="171.86"/>
    <n v="4657"/>
    <n v="722160.99"/>
    <n v="800352.02"/>
    <n v="78191.03"/>
    <n v="10.83"/>
    <x v="2"/>
    <n v="0.23880000000000001"/>
    <n v="1.1499999999999999"/>
  </r>
  <r>
    <s v="AXE-0383"/>
    <s v="2023-12-19"/>
    <s v="AAPL"/>
    <s v="Apple Inc."/>
    <x v="0"/>
    <x v="1"/>
    <x v="1"/>
    <n v="156.61000000000001"/>
    <n v="199.93"/>
    <n v="3495"/>
    <n v="547351.94999999995"/>
    <n v="698755.35"/>
    <n v="151403.4"/>
    <n v="27.66"/>
    <x v="1"/>
    <n v="0.37059999999999998"/>
    <n v="1.76"/>
  </r>
  <r>
    <s v="AXE-0384"/>
    <s v="2022-04-19"/>
    <s v="NVDA"/>
    <s v="NVIDIA Corp."/>
    <x v="0"/>
    <x v="4"/>
    <x v="1"/>
    <n v="668.42"/>
    <n v="998.97"/>
    <n v="4487"/>
    <n v="2999200.54"/>
    <n v="4482378.3899999997"/>
    <n v="1483177.85"/>
    <n v="49.45"/>
    <x v="1"/>
    <n v="0.2336"/>
    <n v="1.39"/>
  </r>
  <r>
    <s v="AXE-0385"/>
    <s v="2023-09-16"/>
    <s v="CAT"/>
    <s v="Caterpillar"/>
    <x v="1"/>
    <x v="1"/>
    <x v="2"/>
    <n v="223.83"/>
    <n v="153.59"/>
    <n v="1510"/>
    <n v="337983.3"/>
    <n v="231920.9"/>
    <n v="-106062.39999999999"/>
    <n v="-31.38"/>
    <x v="1"/>
    <n v="0.38169999999999998"/>
    <n v="1.43"/>
  </r>
  <r>
    <s v="AXE-0386"/>
    <s v="2023-02-10"/>
    <s v="MSFT"/>
    <s v="Microsoft Corp."/>
    <x v="0"/>
    <x v="0"/>
    <x v="3"/>
    <n v="343.59"/>
    <n v="523.83000000000004"/>
    <n v="503"/>
    <n v="172825.77"/>
    <n v="263486.49"/>
    <n v="90660.72"/>
    <n v="52.46"/>
    <x v="1"/>
    <n v="0.50570000000000004"/>
    <n v="0.62"/>
  </r>
  <r>
    <s v="AXE-0387"/>
    <s v="2022-11-15"/>
    <s v="XOM"/>
    <s v="Exxon Mobil"/>
    <x v="3"/>
    <x v="2"/>
    <x v="0"/>
    <n v="119.88"/>
    <n v="124.62"/>
    <n v="904"/>
    <n v="108371.52"/>
    <n v="112656.48"/>
    <n v="4284.96"/>
    <n v="3.95"/>
    <x v="0"/>
    <n v="0.2492"/>
    <n v="1.49"/>
  </r>
  <r>
    <s v="AXE-0388"/>
    <s v="2022-10-03"/>
    <s v="CVX"/>
    <s v="Chevron Corp."/>
    <x v="3"/>
    <x v="3"/>
    <x v="1"/>
    <n v="145.02000000000001"/>
    <n v="149.08000000000001"/>
    <n v="831"/>
    <n v="120511.62"/>
    <n v="123885.48"/>
    <n v="3373.86"/>
    <n v="2.8"/>
    <x v="0"/>
    <n v="0.4743"/>
    <n v="1.49"/>
  </r>
  <r>
    <s v="AXE-0389"/>
    <s v="2023-01-18"/>
    <s v="NFLX"/>
    <s v="Netflix Inc."/>
    <x v="5"/>
    <x v="3"/>
    <x v="1"/>
    <n v="391.36"/>
    <n v="538.78"/>
    <n v="1402"/>
    <n v="548686.72"/>
    <n v="755369.56"/>
    <n v="206682.84"/>
    <n v="37.67"/>
    <x v="1"/>
    <n v="0.29349999999999998"/>
    <n v="1.54"/>
  </r>
  <r>
    <s v="AXE-0390"/>
    <s v="2023-08-06"/>
    <s v="NFLX"/>
    <s v="Netflix Inc."/>
    <x v="5"/>
    <x v="0"/>
    <x v="1"/>
    <n v="500.65"/>
    <n v="510.92"/>
    <n v="1679"/>
    <n v="840591.35"/>
    <n v="857834.68"/>
    <n v="17243.330000000002"/>
    <n v="2.0499999999999998"/>
    <x v="0"/>
    <n v="0.14480000000000001"/>
    <n v="0.64"/>
  </r>
  <r>
    <s v="AXE-0391"/>
    <s v="2023-01-05"/>
    <s v="MSFT"/>
    <s v="Microsoft Corp."/>
    <x v="0"/>
    <x v="4"/>
    <x v="2"/>
    <n v="351.06"/>
    <n v="299.23"/>
    <n v="3117"/>
    <n v="1094254.02"/>
    <n v="932699.91"/>
    <n v="-161554.10999999999"/>
    <n v="-14.76"/>
    <x v="2"/>
    <n v="0.39319999999999999"/>
    <n v="0.75"/>
  </r>
  <r>
    <s v="AXE-0392"/>
    <s v="2022-09-05"/>
    <s v="AAPL"/>
    <s v="Apple Inc."/>
    <x v="0"/>
    <x v="2"/>
    <x v="3"/>
    <n v="172.17"/>
    <n v="267.27"/>
    <n v="4966"/>
    <n v="854996.22"/>
    <n v="1327262.82"/>
    <n v="472266.6"/>
    <n v="55.24"/>
    <x v="1"/>
    <n v="0.3241"/>
    <n v="1.26"/>
  </r>
  <r>
    <s v="AXE-0393"/>
    <s v="2022-06-17"/>
    <s v="OXY"/>
    <s v="Occidental Pet."/>
    <x v="3"/>
    <x v="1"/>
    <x v="0"/>
    <n v="55.79"/>
    <n v="51.03"/>
    <n v="2435"/>
    <n v="135848.65"/>
    <n v="124258.05"/>
    <n v="-11590.6"/>
    <n v="-8.5299999999999994"/>
    <x v="2"/>
    <n v="0.48709999999999998"/>
    <n v="1.54"/>
  </r>
  <r>
    <s v="AXE-0394"/>
    <s v="2022-08-15"/>
    <s v="TSLA"/>
    <s v="Tesla Inc."/>
    <x v="6"/>
    <x v="0"/>
    <x v="2"/>
    <n v="230"/>
    <n v="196.91"/>
    <n v="2304"/>
    <n v="529920"/>
    <n v="453680.64000000001"/>
    <n v="-76239.360000000001"/>
    <n v="-14.39"/>
    <x v="2"/>
    <n v="0.49180000000000001"/>
    <n v="1.76"/>
  </r>
  <r>
    <s v="AXE-0395"/>
    <s v="2023-05-01"/>
    <s v="AAPL"/>
    <s v="Apple Inc."/>
    <x v="0"/>
    <x v="0"/>
    <x v="1"/>
    <n v="160.5"/>
    <n v="209.59"/>
    <n v="169"/>
    <n v="27124.5"/>
    <n v="35420.71"/>
    <n v="8296.2099999999991"/>
    <n v="30.59"/>
    <x v="1"/>
    <n v="0.52549999999999997"/>
    <n v="1.46"/>
  </r>
  <r>
    <s v="AXE-0396"/>
    <s v="2023-03-10"/>
    <s v="GS"/>
    <s v="Goldman Sachs"/>
    <x v="4"/>
    <x v="4"/>
    <x v="1"/>
    <n v="351.73"/>
    <n v="424.43"/>
    <n v="3860"/>
    <n v="1357677.8"/>
    <n v="1638299.8"/>
    <n v="280622"/>
    <n v="20.67"/>
    <x v="2"/>
    <n v="0.41120000000000001"/>
    <n v="1.59"/>
  </r>
  <r>
    <s v="AXE-0397"/>
    <s v="2023-08-22"/>
    <s v="JNJ"/>
    <s v="J&amp;J"/>
    <x v="2"/>
    <x v="1"/>
    <x v="1"/>
    <n v="189.72"/>
    <n v="295.31"/>
    <n v="4290"/>
    <n v="813898.8"/>
    <n v="1266879.8999999999"/>
    <n v="452981.1"/>
    <n v="55.66"/>
    <x v="1"/>
    <n v="0.48089999999999999"/>
    <n v="1.27"/>
  </r>
  <r>
    <s v="AXE-0398"/>
    <s v="2023-09-16"/>
    <s v="MS"/>
    <s v="Morgan Stanley"/>
    <x v="4"/>
    <x v="4"/>
    <x v="0"/>
    <n v="89.51"/>
    <n v="99.84"/>
    <n v="985"/>
    <n v="88167.35"/>
    <n v="98342.399999999994"/>
    <n v="10175.049999999999"/>
    <n v="11.54"/>
    <x v="2"/>
    <n v="0.2389"/>
    <n v="0.99"/>
  </r>
  <r>
    <s v="AXE-0399"/>
    <s v="2022-09-25"/>
    <s v="GS"/>
    <s v="Goldman Sachs"/>
    <x v="4"/>
    <x v="0"/>
    <x v="0"/>
    <n v="381.97"/>
    <n v="400.39"/>
    <n v="1328"/>
    <n v="507256.16"/>
    <n v="531717.92000000004"/>
    <n v="24461.759999999998"/>
    <n v="4.82"/>
    <x v="0"/>
    <n v="0.1444"/>
    <n v="1.63"/>
  </r>
  <r>
    <s v="AXE-0400"/>
    <s v="2023-02-18"/>
    <s v="MS"/>
    <s v="Morgan Stanley"/>
    <x v="4"/>
    <x v="0"/>
    <x v="3"/>
    <n v="94.2"/>
    <n v="148.66999999999999"/>
    <n v="308"/>
    <n v="29013.599999999999"/>
    <n v="45790.36"/>
    <n v="16776.759999999998"/>
    <n v="57.82"/>
    <x v="1"/>
    <n v="0.2316"/>
    <n v="1.1000000000000001"/>
  </r>
  <r>
    <s v="AXE-0401"/>
    <s v="2022-02-06"/>
    <s v="JNJ"/>
    <s v="J&amp;J"/>
    <x v="2"/>
    <x v="4"/>
    <x v="2"/>
    <n v="174.22"/>
    <n v="159.16999999999999"/>
    <n v="1921"/>
    <n v="334676.62"/>
    <n v="305765.57"/>
    <n v="-28911.05"/>
    <n v="-8.64"/>
    <x v="2"/>
    <n v="0.3246"/>
    <n v="1.73"/>
  </r>
  <r>
    <s v="AXE-0402"/>
    <s v="2023-06-04"/>
    <s v="OXY"/>
    <s v="Occidental Pet."/>
    <x v="3"/>
    <x v="0"/>
    <x v="0"/>
    <n v="58.78"/>
    <n v="55.74"/>
    <n v="4673"/>
    <n v="274678.94"/>
    <n v="260473.02"/>
    <n v="-14205.92"/>
    <n v="-5.17"/>
    <x v="0"/>
    <n v="0.17499999999999999"/>
    <n v="0.91"/>
  </r>
  <r>
    <s v="AXE-0403"/>
    <s v="2022-07-07"/>
    <s v="BA"/>
    <s v="Boeing Co."/>
    <x v="1"/>
    <x v="1"/>
    <x v="3"/>
    <n v="200.88"/>
    <n v="281.42"/>
    <n v="1920"/>
    <n v="385689.59999999998"/>
    <n v="540326.40000000002"/>
    <n v="154636.79999999999"/>
    <n v="40.090000000000003"/>
    <x v="1"/>
    <n v="0.252"/>
    <n v="1.55"/>
  </r>
  <r>
    <s v="AXE-0404"/>
    <s v="2023-01-16"/>
    <s v="CVX"/>
    <s v="Chevron Corp."/>
    <x v="3"/>
    <x v="3"/>
    <x v="0"/>
    <n v="158.26"/>
    <n v="152.32"/>
    <n v="2508"/>
    <n v="396916.08"/>
    <n v="382018.56"/>
    <n v="-14897.52"/>
    <n v="-3.75"/>
    <x v="0"/>
    <n v="0.1431"/>
    <n v="1.36"/>
  </r>
  <r>
    <s v="AXE-0405"/>
    <s v="2023-09-28"/>
    <s v="CAT"/>
    <s v="Caterpillar"/>
    <x v="1"/>
    <x v="2"/>
    <x v="1"/>
    <n v="240.03"/>
    <n v="356.98"/>
    <n v="1693"/>
    <n v="406370.79"/>
    <n v="604367.14"/>
    <n v="197996.35"/>
    <n v="48.72"/>
    <x v="1"/>
    <n v="0.28410000000000002"/>
    <n v="0.96"/>
  </r>
  <r>
    <s v="AXE-0406"/>
    <s v="2022-06-04"/>
    <s v="MSFT"/>
    <s v="Microsoft Corp."/>
    <x v="0"/>
    <x v="0"/>
    <x v="1"/>
    <n v="311.27999999999997"/>
    <n v="398"/>
    <n v="2907"/>
    <n v="904890.96"/>
    <n v="1156986"/>
    <n v="252095.04"/>
    <n v="27.86"/>
    <x v="1"/>
    <n v="0.50980000000000003"/>
    <n v="1.1499999999999999"/>
  </r>
  <r>
    <s v="AXE-0407"/>
    <s v="2022-07-04"/>
    <s v="CVX"/>
    <s v="Chevron Corp."/>
    <x v="3"/>
    <x v="2"/>
    <x v="1"/>
    <n v="166.29"/>
    <n v="166.92"/>
    <n v="2824"/>
    <n v="469602.96"/>
    <n v="471382.08"/>
    <n v="1779.12"/>
    <n v="0.38"/>
    <x v="0"/>
    <n v="0.39279999999999998"/>
    <n v="0.61"/>
  </r>
  <r>
    <s v="AXE-0408"/>
    <s v="2022-08-03"/>
    <s v="GS"/>
    <s v="Goldman Sachs"/>
    <x v="4"/>
    <x v="3"/>
    <x v="1"/>
    <n v="378.81"/>
    <n v="535.83000000000004"/>
    <n v="1397"/>
    <n v="529197.56999999995"/>
    <n v="748554.51"/>
    <n v="219356.94"/>
    <n v="41.45"/>
    <x v="1"/>
    <n v="0.15790000000000001"/>
    <n v="1.34"/>
  </r>
  <r>
    <s v="AXE-0409"/>
    <s v="2023-02-18"/>
    <s v="LLY"/>
    <s v="Eli Lilly"/>
    <x v="2"/>
    <x v="2"/>
    <x v="1"/>
    <n v="468.27"/>
    <n v="587.04999999999995"/>
    <n v="3240"/>
    <n v="1517194.8"/>
    <n v="1902042"/>
    <n v="384847.2"/>
    <n v="25.37"/>
    <x v="1"/>
    <n v="0.43419999999999997"/>
    <n v="1.74"/>
  </r>
  <r>
    <s v="AXE-0410"/>
    <s v="2023-06-28"/>
    <s v="CVX"/>
    <s v="Chevron Corp."/>
    <x v="3"/>
    <x v="1"/>
    <x v="2"/>
    <n v="166.08"/>
    <n v="121.98"/>
    <n v="133"/>
    <n v="22088.639999999999"/>
    <n v="16223.34"/>
    <n v="-5865.3"/>
    <n v="-26.55"/>
    <x v="1"/>
    <n v="0.41820000000000002"/>
    <n v="1.01"/>
  </r>
  <r>
    <s v="AXE-0411"/>
    <s v="2022-04-16"/>
    <s v="META"/>
    <s v="Meta Platforms"/>
    <x v="0"/>
    <x v="3"/>
    <x v="1"/>
    <n v="329.64"/>
    <n v="305.14999999999998"/>
    <n v="4922"/>
    <n v="1622488.08"/>
    <n v="1501948.3"/>
    <n v="-120539.78"/>
    <n v="-7.43"/>
    <x v="0"/>
    <n v="0.13969999999999999"/>
    <n v="1.74"/>
  </r>
  <r>
    <s v="AXE-0412"/>
    <s v="2023-06-17"/>
    <s v="PFE"/>
    <s v="Pfizer Inc."/>
    <x v="2"/>
    <x v="2"/>
    <x v="3"/>
    <n v="45.74"/>
    <n v="69.11"/>
    <n v="1196"/>
    <n v="54705.04"/>
    <n v="82655.56"/>
    <n v="27950.52"/>
    <n v="51.09"/>
    <x v="1"/>
    <n v="0.27450000000000002"/>
    <n v="0.83"/>
  </r>
  <r>
    <s v="AXE-0413"/>
    <s v="2022-01-20"/>
    <s v="JNJ"/>
    <s v="J&amp;J"/>
    <x v="2"/>
    <x v="0"/>
    <x v="2"/>
    <n v="150.69999999999999"/>
    <n v="94.95"/>
    <n v="1174"/>
    <n v="176921.8"/>
    <n v="111471.3"/>
    <n v="-65450.5"/>
    <n v="-36.99"/>
    <x v="1"/>
    <n v="0.33700000000000002"/>
    <n v="0.75"/>
  </r>
  <r>
    <s v="AXE-0414"/>
    <s v="2023-01-20"/>
    <s v="MSFT"/>
    <s v="Microsoft Corp."/>
    <x v="0"/>
    <x v="3"/>
    <x v="0"/>
    <n v="329.02"/>
    <n v="300.58"/>
    <n v="498"/>
    <n v="163851.96"/>
    <n v="149688.84"/>
    <n v="-14163.12"/>
    <n v="-8.64"/>
    <x v="2"/>
    <n v="0.16650000000000001"/>
    <n v="1.6"/>
  </r>
  <r>
    <s v="AXE-0415"/>
    <s v="2023-12-08"/>
    <s v="MSFT"/>
    <s v="Microsoft Corp."/>
    <x v="0"/>
    <x v="2"/>
    <x v="1"/>
    <n v="308.5"/>
    <n v="389.67"/>
    <n v="3739"/>
    <n v="1153481.5"/>
    <n v="1456976.13"/>
    <n v="303494.63"/>
    <n v="26.31"/>
    <x v="1"/>
    <n v="0.32400000000000001"/>
    <n v="0.78"/>
  </r>
  <r>
    <s v="AXE-0416"/>
    <s v="2022-11-05"/>
    <s v="AAPL"/>
    <s v="Apple Inc."/>
    <x v="0"/>
    <x v="1"/>
    <x v="1"/>
    <n v="162.91999999999999"/>
    <n v="212.44"/>
    <n v="4362"/>
    <n v="710657.04"/>
    <n v="926663.28"/>
    <n v="216006.24"/>
    <n v="30.4"/>
    <x v="1"/>
    <n v="0.17899999999999999"/>
    <n v="1.6"/>
  </r>
  <r>
    <s v="AXE-0417"/>
    <s v="2023-06-08"/>
    <s v="NVDA"/>
    <s v="NVIDIA Corp."/>
    <x v="0"/>
    <x v="4"/>
    <x v="1"/>
    <n v="651.26"/>
    <n v="800.02"/>
    <n v="1033"/>
    <n v="672751.58"/>
    <n v="826420.66"/>
    <n v="153669.07999999999"/>
    <n v="22.84"/>
    <x v="1"/>
    <n v="0.38190000000000002"/>
    <n v="1.53"/>
  </r>
  <r>
    <s v="AXE-0418"/>
    <s v="2022-07-26"/>
    <s v="NFLX"/>
    <s v="Netflix Inc."/>
    <x v="5"/>
    <x v="2"/>
    <x v="3"/>
    <n v="404.15"/>
    <n v="510.72"/>
    <n v="2519"/>
    <n v="1018053.85"/>
    <n v="1286503.68"/>
    <n v="268449.83"/>
    <n v="26.37"/>
    <x v="1"/>
    <n v="0.51149999999999995"/>
    <n v="1.43"/>
  </r>
  <r>
    <s v="AXE-0419"/>
    <s v="2022-12-05"/>
    <s v="BLK"/>
    <s v="BlackRock"/>
    <x v="4"/>
    <x v="1"/>
    <x v="2"/>
    <n v="820.16"/>
    <n v="850.64"/>
    <n v="204"/>
    <n v="167312.64000000001"/>
    <n v="173530.56"/>
    <n v="6217.92"/>
    <n v="3.72"/>
    <x v="0"/>
    <n v="0.47910000000000003"/>
    <n v="1.4"/>
  </r>
  <r>
    <s v="AXE-0420"/>
    <s v="2022-04-03"/>
    <s v="META"/>
    <s v="Meta Platforms"/>
    <x v="0"/>
    <x v="1"/>
    <x v="1"/>
    <n v="365.16"/>
    <n v="438.09"/>
    <n v="2196"/>
    <n v="801891.36"/>
    <n v="962045.64"/>
    <n v="160154.28"/>
    <n v="19.97"/>
    <x v="2"/>
    <n v="0.54020000000000001"/>
    <n v="0.92"/>
  </r>
  <r>
    <s v="AXE-0421"/>
    <s v="2022-04-13"/>
    <s v="MSFT"/>
    <s v="Microsoft Corp."/>
    <x v="0"/>
    <x v="1"/>
    <x v="1"/>
    <n v="306.58"/>
    <n v="415.03"/>
    <n v="2480"/>
    <n v="760318.4"/>
    <n v="1029274.4"/>
    <n v="268956"/>
    <n v="35.369999999999997"/>
    <x v="1"/>
    <n v="0.30320000000000003"/>
    <n v="0.74"/>
  </r>
  <r>
    <s v="AXE-0422"/>
    <s v="2022-01-10"/>
    <s v="MSFT"/>
    <s v="Microsoft Corp."/>
    <x v="0"/>
    <x v="0"/>
    <x v="1"/>
    <n v="306.32"/>
    <n v="363.42"/>
    <n v="2792"/>
    <n v="855245.44"/>
    <n v="1014668.64"/>
    <n v="159423.20000000001"/>
    <n v="18.64"/>
    <x v="2"/>
    <n v="0.38740000000000002"/>
    <n v="1.65"/>
  </r>
  <r>
    <s v="AXE-0423"/>
    <s v="2023-01-17"/>
    <s v="GOOGL"/>
    <s v="Alphabet Inc."/>
    <x v="0"/>
    <x v="0"/>
    <x v="3"/>
    <n v="135.83000000000001"/>
    <n v="211.03"/>
    <n v="1032"/>
    <n v="140176.56"/>
    <n v="217782.96"/>
    <n v="77606.399999999994"/>
    <n v="55.36"/>
    <x v="1"/>
    <n v="0.2369"/>
    <n v="1.06"/>
  </r>
  <r>
    <s v="AXE-0424"/>
    <s v="2023-03-08"/>
    <s v="BLK"/>
    <s v="BlackRock"/>
    <x v="4"/>
    <x v="1"/>
    <x v="1"/>
    <n v="825.9"/>
    <n v="760.7"/>
    <n v="1185"/>
    <n v="978691.5"/>
    <n v="901429.5"/>
    <n v="-77262"/>
    <n v="-7.89"/>
    <x v="0"/>
    <n v="0.52529999999999999"/>
    <n v="0.79"/>
  </r>
  <r>
    <s v="AXE-0425"/>
    <s v="2023-08-28"/>
    <s v="LLY"/>
    <s v="Eli Lilly"/>
    <x v="2"/>
    <x v="3"/>
    <x v="2"/>
    <n v="497.41"/>
    <n v="395.28"/>
    <n v="3689"/>
    <n v="1834945.49"/>
    <n v="1458187.92"/>
    <n v="-376757.57"/>
    <n v="-20.53"/>
    <x v="2"/>
    <n v="0.2742"/>
    <n v="0.63"/>
  </r>
  <r>
    <s v="AXE-0426"/>
    <s v="2023-05-10"/>
    <s v="META"/>
    <s v="Meta Platforms"/>
    <x v="0"/>
    <x v="1"/>
    <x v="2"/>
    <n v="343.77"/>
    <n v="223.15"/>
    <n v="3469"/>
    <n v="1192538.1299999999"/>
    <n v="774107.35"/>
    <n v="-418430.78"/>
    <n v="-35.090000000000003"/>
    <x v="1"/>
    <n v="0.40160000000000001"/>
    <n v="0.61"/>
  </r>
  <r>
    <s v="AXE-0427"/>
    <s v="2023-08-14"/>
    <s v="NFLX"/>
    <s v="Netflix Inc."/>
    <x v="5"/>
    <x v="4"/>
    <x v="2"/>
    <n v="453.12"/>
    <n v="426.96"/>
    <n v="4352"/>
    <n v="1971978.24"/>
    <n v="1858129.9199999999"/>
    <n v="-113848.32000000001"/>
    <n v="-5.77"/>
    <x v="0"/>
    <n v="0.161"/>
    <n v="1.39"/>
  </r>
  <r>
    <s v="AXE-0428"/>
    <s v="2023-05-09"/>
    <s v="JPM"/>
    <s v="JPMorgan Chase"/>
    <x v="4"/>
    <x v="2"/>
    <x v="3"/>
    <n v="170.77"/>
    <n v="217.02"/>
    <n v="1317"/>
    <n v="224904.09"/>
    <n v="285815.34000000003"/>
    <n v="60911.25"/>
    <n v="27.08"/>
    <x v="1"/>
    <n v="0.54479999999999995"/>
    <n v="0.67"/>
  </r>
  <r>
    <s v="AXE-0429"/>
    <s v="2023-06-02"/>
    <s v="AMZN"/>
    <s v="Amazon.com"/>
    <x v="6"/>
    <x v="2"/>
    <x v="2"/>
    <n v="126.51"/>
    <n v="107.05"/>
    <n v="1454"/>
    <n v="183945.54"/>
    <n v="155650.70000000001"/>
    <n v="-28294.84"/>
    <n v="-15.38"/>
    <x v="2"/>
    <n v="0.22359999999999999"/>
    <n v="1.76"/>
  </r>
  <r>
    <s v="AXE-0430"/>
    <s v="2023-06-04"/>
    <s v="MSFT"/>
    <s v="Microsoft Corp."/>
    <x v="0"/>
    <x v="3"/>
    <x v="2"/>
    <n v="310.70999999999998"/>
    <n v="226.23"/>
    <n v="3201"/>
    <n v="994582.71"/>
    <n v="724162.23"/>
    <n v="-270420.47999999998"/>
    <n v="-27.19"/>
    <x v="1"/>
    <n v="0.31740000000000002"/>
    <n v="1.56"/>
  </r>
  <r>
    <s v="AXE-0431"/>
    <s v="2022-04-01"/>
    <s v="PFE"/>
    <s v="Pfizer Inc."/>
    <x v="2"/>
    <x v="2"/>
    <x v="2"/>
    <n v="42.51"/>
    <n v="36.08"/>
    <n v="2689"/>
    <n v="114309.39"/>
    <n v="97019.12"/>
    <n v="-17290.27"/>
    <n v="-15.13"/>
    <x v="2"/>
    <n v="0.40100000000000002"/>
    <n v="0.72"/>
  </r>
  <r>
    <s v="AXE-0432"/>
    <s v="2022-02-06"/>
    <s v="LLY"/>
    <s v="Eli Lilly"/>
    <x v="2"/>
    <x v="1"/>
    <x v="1"/>
    <n v="614.37"/>
    <n v="782.48"/>
    <n v="2595"/>
    <n v="1594290.15"/>
    <n v="2030535.6"/>
    <n v="436245.45"/>
    <n v="27.36"/>
    <x v="1"/>
    <n v="0.40150000000000002"/>
    <n v="1.1499999999999999"/>
  </r>
  <r>
    <s v="AXE-0433"/>
    <s v="2023-01-08"/>
    <s v="CVX"/>
    <s v="Chevron Corp."/>
    <x v="3"/>
    <x v="0"/>
    <x v="1"/>
    <n v="151.93"/>
    <n v="215.31"/>
    <n v="3822"/>
    <n v="580676.46"/>
    <n v="822914.82"/>
    <n v="242238.36"/>
    <n v="41.72"/>
    <x v="1"/>
    <n v="0.378"/>
    <n v="1.46"/>
  </r>
  <r>
    <s v="AXE-0434"/>
    <s v="2023-04-09"/>
    <s v="OXY"/>
    <s v="Occidental Pet."/>
    <x v="3"/>
    <x v="1"/>
    <x v="1"/>
    <n v="55.29"/>
    <n v="62.4"/>
    <n v="1916"/>
    <n v="105935.64"/>
    <n v="119558.39999999999"/>
    <n v="13622.76"/>
    <n v="12.86"/>
    <x v="2"/>
    <n v="0.39250000000000002"/>
    <n v="1.56"/>
  </r>
  <r>
    <s v="AXE-0435"/>
    <s v="2023-06-19"/>
    <s v="BA"/>
    <s v="Boeing Co."/>
    <x v="1"/>
    <x v="1"/>
    <x v="3"/>
    <n v="235"/>
    <n v="287.8"/>
    <n v="475"/>
    <n v="111625"/>
    <n v="136705"/>
    <n v="25080"/>
    <n v="22.47"/>
    <x v="1"/>
    <n v="0.47339999999999999"/>
    <n v="1.49"/>
  </r>
  <r>
    <s v="AXE-0436"/>
    <s v="2022-04-20"/>
    <s v="LLY"/>
    <s v="Eli Lilly"/>
    <x v="2"/>
    <x v="3"/>
    <x v="0"/>
    <n v="498.44"/>
    <n v="763.19"/>
    <n v="1704"/>
    <n v="849341.76"/>
    <n v="1300475.76"/>
    <n v="451134"/>
    <n v="53.12"/>
    <x v="1"/>
    <n v="0.28889999999999999"/>
    <n v="1.1499999999999999"/>
  </r>
  <r>
    <s v="AXE-0437"/>
    <s v="2022-12-13"/>
    <s v="TSLA"/>
    <s v="Tesla Inc."/>
    <x v="6"/>
    <x v="2"/>
    <x v="1"/>
    <n v="248.16"/>
    <n v="363.86"/>
    <n v="480"/>
    <n v="119116.8"/>
    <n v="174652.79999999999"/>
    <n v="55536"/>
    <n v="46.62"/>
    <x v="1"/>
    <n v="0.37319999999999998"/>
    <n v="1.53"/>
  </r>
  <r>
    <s v="AXE-0438"/>
    <s v="2023-04-14"/>
    <s v="PFE"/>
    <s v="Pfizer Inc."/>
    <x v="2"/>
    <x v="2"/>
    <x v="1"/>
    <n v="48.44"/>
    <n v="44.27"/>
    <n v="135"/>
    <n v="6539.4"/>
    <n v="5976.45"/>
    <n v="-562.95000000000005"/>
    <n v="-8.61"/>
    <x v="2"/>
    <n v="0.5222"/>
    <n v="1.61"/>
  </r>
  <r>
    <s v="AXE-0439"/>
    <s v="2023-06-05"/>
    <s v="BLK"/>
    <s v="BlackRock"/>
    <x v="4"/>
    <x v="3"/>
    <x v="1"/>
    <n v="833.94"/>
    <n v="808.81"/>
    <n v="1522"/>
    <n v="1269256.68"/>
    <n v="1231008.82"/>
    <n v="-38247.86"/>
    <n v="-3.01"/>
    <x v="0"/>
    <n v="0.28660000000000002"/>
    <n v="1.32"/>
  </r>
  <r>
    <s v="AXE-0440"/>
    <s v="2023-06-01"/>
    <s v="CVX"/>
    <s v="Chevron Corp."/>
    <x v="3"/>
    <x v="2"/>
    <x v="1"/>
    <n v="149.13"/>
    <n v="231.82"/>
    <n v="2133"/>
    <n v="318094.28999999998"/>
    <n v="494472.06"/>
    <n v="176377.77"/>
    <n v="55.45"/>
    <x v="1"/>
    <n v="0.5373"/>
    <n v="1.1399999999999999"/>
  </r>
  <r>
    <s v="AXE-0441"/>
    <s v="2022-05-22"/>
    <s v="META"/>
    <s v="Meta Platforms"/>
    <x v="0"/>
    <x v="3"/>
    <x v="1"/>
    <n v="328.89"/>
    <n v="450.92"/>
    <n v="4296"/>
    <n v="1412911.44"/>
    <n v="1937152.32"/>
    <n v="524240.88"/>
    <n v="37.1"/>
    <x v="1"/>
    <n v="0.49009999999999998"/>
    <n v="1.45"/>
  </r>
  <r>
    <s v="AXE-0442"/>
    <s v="2023-10-10"/>
    <s v="BA"/>
    <s v="Boeing Co."/>
    <x v="1"/>
    <x v="0"/>
    <x v="2"/>
    <n v="217.82"/>
    <n v="164.16"/>
    <n v="1817"/>
    <n v="395778.94"/>
    <n v="298278.71999999997"/>
    <n v="-97500.22"/>
    <n v="-24.64"/>
    <x v="1"/>
    <n v="0.26850000000000002"/>
    <n v="1.41"/>
  </r>
  <r>
    <s v="AXE-0443"/>
    <s v="2023-05-31"/>
    <s v="AMZN"/>
    <s v="Amazon.com"/>
    <x v="6"/>
    <x v="1"/>
    <x v="3"/>
    <n v="147.71"/>
    <n v="190.25"/>
    <n v="2985"/>
    <n v="440914.35"/>
    <n v="567896.25"/>
    <n v="126981.9"/>
    <n v="28.8"/>
    <x v="1"/>
    <n v="0.52529999999999999"/>
    <n v="1.45"/>
  </r>
  <r>
    <s v="AXE-0444"/>
    <s v="2022-10-20"/>
    <s v="BA"/>
    <s v="Boeing Co."/>
    <x v="1"/>
    <x v="1"/>
    <x v="1"/>
    <n v="185.21"/>
    <n v="212.36"/>
    <n v="4382"/>
    <n v="811590.22"/>
    <n v="930561.52"/>
    <n v="118971.3"/>
    <n v="14.66"/>
    <x v="2"/>
    <n v="0.14280000000000001"/>
    <n v="0.67"/>
  </r>
  <r>
    <s v="AXE-0445"/>
    <s v="2022-06-14"/>
    <s v="GS"/>
    <s v="Goldman Sachs"/>
    <x v="4"/>
    <x v="4"/>
    <x v="0"/>
    <n v="418.69"/>
    <n v="570.85"/>
    <n v="1299"/>
    <n v="543878.31000000006"/>
    <n v="741534.15"/>
    <n v="197655.84"/>
    <n v="36.340000000000003"/>
    <x v="1"/>
    <n v="0.24690000000000001"/>
    <n v="1.5"/>
  </r>
  <r>
    <s v="AXE-0446"/>
    <s v="2023-01-03"/>
    <s v="MSFT"/>
    <s v="Microsoft Corp."/>
    <x v="0"/>
    <x v="1"/>
    <x v="2"/>
    <n v="355.02"/>
    <n v="341.36"/>
    <n v="4702"/>
    <n v="1669304.04"/>
    <n v="1605074.72"/>
    <n v="-64229.32"/>
    <n v="-3.85"/>
    <x v="0"/>
    <n v="0.36130000000000001"/>
    <n v="0.89"/>
  </r>
  <r>
    <s v="AXE-0447"/>
    <s v="2023-12-11"/>
    <s v="XOM"/>
    <s v="Exxon Mobil"/>
    <x v="3"/>
    <x v="2"/>
    <x v="1"/>
    <n v="102.37"/>
    <n v="146.56"/>
    <n v="3274"/>
    <n v="335159.38"/>
    <n v="479837.44"/>
    <n v="144678.06"/>
    <n v="43.17"/>
    <x v="1"/>
    <n v="0.41460000000000002"/>
    <n v="1.76"/>
  </r>
  <r>
    <s v="AXE-0448"/>
    <s v="2022-01-14"/>
    <s v="MSFT"/>
    <s v="Microsoft Corp."/>
    <x v="0"/>
    <x v="0"/>
    <x v="0"/>
    <n v="351.68"/>
    <n v="533.86"/>
    <n v="3729"/>
    <n v="1311414.72"/>
    <n v="1990763.94"/>
    <n v="679349.22"/>
    <n v="51.8"/>
    <x v="1"/>
    <n v="0.42299999999999999"/>
    <n v="1.38"/>
  </r>
  <r>
    <s v="AXE-0449"/>
    <s v="2023-07-14"/>
    <s v="CAT"/>
    <s v="Caterpillar"/>
    <x v="1"/>
    <x v="0"/>
    <x v="2"/>
    <n v="236.31"/>
    <n v="253.42"/>
    <n v="2509"/>
    <n v="592901.79"/>
    <n v="635830.78"/>
    <n v="42928.99"/>
    <n v="7.24"/>
    <x v="0"/>
    <n v="0.152"/>
    <n v="1.75"/>
  </r>
  <r>
    <s v="AXE-0450"/>
    <s v="2022-05-03"/>
    <s v="NFLX"/>
    <s v="Netflix Inc."/>
    <x v="5"/>
    <x v="1"/>
    <x v="1"/>
    <n v="420.18"/>
    <n v="447.48"/>
    <n v="3610"/>
    <n v="1516849.8"/>
    <n v="1615402.8"/>
    <n v="98553"/>
    <n v="6.5"/>
    <x v="0"/>
    <n v="0.18920000000000001"/>
    <n v="1.62"/>
  </r>
  <r>
    <s v="AXE-0451"/>
    <s v="2022-12-05"/>
    <s v="AAPL"/>
    <s v="Apple Inc."/>
    <x v="0"/>
    <x v="0"/>
    <x v="2"/>
    <n v="156.82"/>
    <n v="120.5"/>
    <n v="427"/>
    <n v="66962.14"/>
    <n v="51453.5"/>
    <n v="-15508.64"/>
    <n v="-23.16"/>
    <x v="1"/>
    <n v="0.1419"/>
    <n v="1.72"/>
  </r>
  <r>
    <s v="AXE-0452"/>
    <s v="2023-11-09"/>
    <s v="MS"/>
    <s v="Morgan Stanley"/>
    <x v="4"/>
    <x v="2"/>
    <x v="0"/>
    <n v="91.35"/>
    <n v="85.05"/>
    <n v="4791"/>
    <n v="437657.85"/>
    <n v="407474.55"/>
    <n v="-30183.3"/>
    <n v="-6.9"/>
    <x v="0"/>
    <n v="0.42430000000000001"/>
    <n v="1.23"/>
  </r>
  <r>
    <s v="AXE-0453"/>
    <s v="2023-06-18"/>
    <s v="AMZN"/>
    <s v="Amazon.com"/>
    <x v="6"/>
    <x v="3"/>
    <x v="1"/>
    <n v="141.34"/>
    <n v="177.51"/>
    <n v="1405"/>
    <n v="198582.7"/>
    <n v="249401.55"/>
    <n v="50818.85"/>
    <n v="25.59"/>
    <x v="1"/>
    <n v="0.1595"/>
    <n v="0.87"/>
  </r>
  <r>
    <s v="AXE-0454"/>
    <s v="2023-11-11"/>
    <s v="TSLA"/>
    <s v="Tesla Inc."/>
    <x v="6"/>
    <x v="4"/>
    <x v="3"/>
    <n v="206.38"/>
    <n v="318.89999999999998"/>
    <n v="3055"/>
    <n v="630490.9"/>
    <n v="974239.5"/>
    <n v="343748.6"/>
    <n v="54.52"/>
    <x v="1"/>
    <n v="0.38590000000000002"/>
    <n v="1.17"/>
  </r>
  <r>
    <s v="AXE-0455"/>
    <s v="2023-10-27"/>
    <s v="BA"/>
    <s v="Boeing Co."/>
    <x v="1"/>
    <x v="1"/>
    <x v="1"/>
    <n v="206.58"/>
    <n v="312.58999999999997"/>
    <n v="2934"/>
    <n v="606105.72"/>
    <n v="917139.06"/>
    <n v="311033.34000000003"/>
    <n v="51.32"/>
    <x v="1"/>
    <n v="0.38390000000000002"/>
    <n v="1.35"/>
  </r>
  <r>
    <s v="AXE-0456"/>
    <s v="2023-11-30"/>
    <s v="MSFT"/>
    <s v="Microsoft Corp."/>
    <x v="0"/>
    <x v="2"/>
    <x v="3"/>
    <n v="309.04000000000002"/>
    <n v="388.82"/>
    <n v="1028"/>
    <n v="317693.12"/>
    <n v="399706.96"/>
    <n v="82013.84"/>
    <n v="25.82"/>
    <x v="1"/>
    <n v="0.24160000000000001"/>
    <n v="1.69"/>
  </r>
  <r>
    <s v="AXE-0457"/>
    <s v="2023-06-11"/>
    <s v="OXY"/>
    <s v="Occidental Pet."/>
    <x v="3"/>
    <x v="2"/>
    <x v="2"/>
    <n v="61.03"/>
    <n v="56.13"/>
    <n v="459"/>
    <n v="28012.77"/>
    <n v="25763.67"/>
    <n v="-2249.1"/>
    <n v="-8.0299999999999994"/>
    <x v="2"/>
    <n v="0.25769999999999998"/>
    <n v="0.7"/>
  </r>
  <r>
    <s v="AXE-0458"/>
    <s v="2022-06-21"/>
    <s v="NVDA"/>
    <s v="NVIDIA Corp."/>
    <x v="0"/>
    <x v="1"/>
    <x v="1"/>
    <n v="630.66"/>
    <n v="896.49"/>
    <n v="1826"/>
    <n v="1151585.1599999999"/>
    <n v="1636990.74"/>
    <n v="485405.58"/>
    <n v="42.15"/>
    <x v="1"/>
    <n v="0.4919"/>
    <n v="1.1100000000000001"/>
  </r>
  <r>
    <s v="AXE-0459"/>
    <s v="2022-07-30"/>
    <s v="NVDA"/>
    <s v="NVIDIA Corp."/>
    <x v="0"/>
    <x v="1"/>
    <x v="1"/>
    <n v="514.28"/>
    <n v="710.64"/>
    <n v="1359"/>
    <n v="698906.52"/>
    <n v="965759.76"/>
    <n v="266853.24"/>
    <n v="38.18"/>
    <x v="1"/>
    <n v="0.1363"/>
    <n v="0.69"/>
  </r>
  <r>
    <s v="AXE-0460"/>
    <s v="2022-09-15"/>
    <s v="AMZN"/>
    <s v="Amazon.com"/>
    <x v="6"/>
    <x v="3"/>
    <x v="1"/>
    <n v="162.88"/>
    <n v="189.81"/>
    <n v="1964"/>
    <n v="319896.32000000001"/>
    <n v="372786.84"/>
    <n v="52890.52"/>
    <n v="16.53"/>
    <x v="2"/>
    <n v="0.314"/>
    <n v="1.0900000000000001"/>
  </r>
  <r>
    <s v="AXE-0461"/>
    <s v="2022-01-18"/>
    <s v="CVX"/>
    <s v="Chevron Corp."/>
    <x v="3"/>
    <x v="1"/>
    <x v="1"/>
    <n v="136.28"/>
    <n v="188.64"/>
    <n v="4481"/>
    <n v="610670.68000000005"/>
    <n v="845295.84"/>
    <n v="234625.16"/>
    <n v="38.42"/>
    <x v="1"/>
    <n v="0.1472"/>
    <n v="1.5"/>
  </r>
  <r>
    <s v="AXE-0462"/>
    <s v="2023-12-19"/>
    <s v="MSFT"/>
    <s v="Microsoft Corp."/>
    <x v="0"/>
    <x v="4"/>
    <x v="1"/>
    <n v="282.19"/>
    <n v="403.76"/>
    <n v="4219"/>
    <n v="1190559.6100000001"/>
    <n v="1703463.44"/>
    <n v="512903.83"/>
    <n v="43.08"/>
    <x v="1"/>
    <n v="0.24959999999999999"/>
    <n v="0.7"/>
  </r>
  <r>
    <s v="AXE-0463"/>
    <s v="2023-01-26"/>
    <s v="PFE"/>
    <s v="Pfizer Inc."/>
    <x v="2"/>
    <x v="1"/>
    <x v="1"/>
    <n v="43.05"/>
    <n v="44.51"/>
    <n v="3982"/>
    <n v="171425.1"/>
    <n v="177238.82"/>
    <n v="5813.72"/>
    <n v="3.39"/>
    <x v="0"/>
    <n v="0.44109999999999999"/>
    <n v="1.56"/>
  </r>
  <r>
    <s v="AXE-0464"/>
    <s v="2022-10-30"/>
    <s v="BA"/>
    <s v="Boeing Co."/>
    <x v="1"/>
    <x v="4"/>
    <x v="1"/>
    <n v="238.82"/>
    <n v="212.03"/>
    <n v="3156"/>
    <n v="753715.92"/>
    <n v="669166.68000000005"/>
    <n v="-84549.24"/>
    <n v="-11.22"/>
    <x v="2"/>
    <n v="0.49609999999999999"/>
    <n v="0.77"/>
  </r>
  <r>
    <s v="AXE-0465"/>
    <s v="2022-01-06"/>
    <s v="MSFT"/>
    <s v="Microsoft Corp."/>
    <x v="0"/>
    <x v="3"/>
    <x v="1"/>
    <n v="362.91"/>
    <n v="396.76"/>
    <n v="4585"/>
    <n v="1663942.35"/>
    <n v="1819144.6"/>
    <n v="155202.25"/>
    <n v="9.33"/>
    <x v="2"/>
    <n v="0.44180000000000003"/>
    <n v="1.68"/>
  </r>
  <r>
    <s v="AXE-0466"/>
    <s v="2022-08-05"/>
    <s v="OXY"/>
    <s v="Occidental Pet."/>
    <x v="3"/>
    <x v="3"/>
    <x v="1"/>
    <n v="58.39"/>
    <n v="60.41"/>
    <n v="1266"/>
    <n v="73921.740000000005"/>
    <n v="76479.06"/>
    <n v="2557.3200000000002"/>
    <n v="3.46"/>
    <x v="0"/>
    <n v="0.47889999999999999"/>
    <n v="0.83"/>
  </r>
  <r>
    <s v="AXE-0467"/>
    <s v="2023-11-19"/>
    <s v="AMZN"/>
    <s v="Amazon.com"/>
    <x v="6"/>
    <x v="3"/>
    <x v="1"/>
    <n v="151.29"/>
    <n v="140.88"/>
    <n v="3878"/>
    <n v="586702.62"/>
    <n v="546332.64"/>
    <n v="-40369.980000000003"/>
    <n v="-6.88"/>
    <x v="0"/>
    <n v="0.4088"/>
    <n v="0.9"/>
  </r>
  <r>
    <s v="AXE-0468"/>
    <s v="2023-08-18"/>
    <s v="TSLA"/>
    <s v="Tesla Inc."/>
    <x v="6"/>
    <x v="4"/>
    <x v="2"/>
    <n v="195.46"/>
    <n v="180.12"/>
    <n v="3025"/>
    <n v="591266.5"/>
    <n v="544863"/>
    <n v="-46403.5"/>
    <n v="-7.85"/>
    <x v="0"/>
    <n v="0.16300000000000001"/>
    <n v="1.34"/>
  </r>
  <r>
    <s v="AXE-0469"/>
    <s v="2022-11-22"/>
    <s v="TSLA"/>
    <s v="Tesla Inc."/>
    <x v="6"/>
    <x v="2"/>
    <x v="2"/>
    <n v="227.68"/>
    <n v="173.18"/>
    <n v="2789"/>
    <n v="634999.52"/>
    <n v="482999.02"/>
    <n v="-152000.5"/>
    <n v="-23.94"/>
    <x v="1"/>
    <n v="0.37119999999999997"/>
    <n v="1.28"/>
  </r>
  <r>
    <s v="AXE-0470"/>
    <s v="2022-11-20"/>
    <s v="OXY"/>
    <s v="Occidental Pet."/>
    <x v="3"/>
    <x v="0"/>
    <x v="1"/>
    <n v="61.36"/>
    <n v="87.74"/>
    <n v="139"/>
    <n v="8529.0400000000009"/>
    <n v="12195.86"/>
    <n v="3666.82"/>
    <n v="42.99"/>
    <x v="1"/>
    <n v="0.42620000000000002"/>
    <n v="1.37"/>
  </r>
  <r>
    <s v="AXE-0471"/>
    <s v="2023-01-04"/>
    <s v="GS"/>
    <s v="Goldman Sachs"/>
    <x v="4"/>
    <x v="4"/>
    <x v="1"/>
    <n v="375.76"/>
    <n v="425.03"/>
    <n v="4031"/>
    <n v="1514688.56"/>
    <n v="1713295.93"/>
    <n v="198607.37"/>
    <n v="13.11"/>
    <x v="2"/>
    <n v="0.25140000000000001"/>
    <n v="1.26"/>
  </r>
  <r>
    <s v="AXE-0472"/>
    <s v="2023-10-24"/>
    <s v="AMZN"/>
    <s v="Amazon.com"/>
    <x v="6"/>
    <x v="4"/>
    <x v="1"/>
    <n v="162.02000000000001"/>
    <n v="164.86"/>
    <n v="1246"/>
    <n v="201876.92"/>
    <n v="205415.56"/>
    <n v="3538.64"/>
    <n v="1.75"/>
    <x v="0"/>
    <n v="0.43540000000000001"/>
    <n v="1.35"/>
  </r>
  <r>
    <s v="AXE-0473"/>
    <s v="2022-01-20"/>
    <s v="GOOGL"/>
    <s v="Alphabet Inc."/>
    <x v="0"/>
    <x v="3"/>
    <x v="1"/>
    <n v="136.02000000000001"/>
    <n v="175.88"/>
    <n v="4842"/>
    <n v="658608.84"/>
    <n v="851610.96"/>
    <n v="193002.12"/>
    <n v="29.3"/>
    <x v="1"/>
    <n v="0.50970000000000004"/>
    <n v="1.26"/>
  </r>
  <r>
    <s v="AXE-0474"/>
    <s v="2023-07-07"/>
    <s v="BA"/>
    <s v="Boeing Co."/>
    <x v="1"/>
    <x v="0"/>
    <x v="2"/>
    <n v="203.23"/>
    <n v="209.34"/>
    <n v="3096"/>
    <n v="629200.07999999996"/>
    <n v="648116.64"/>
    <n v="18916.560000000001"/>
    <n v="3.01"/>
    <x v="0"/>
    <n v="0.3735"/>
    <n v="1.63"/>
  </r>
  <r>
    <s v="AXE-0475"/>
    <s v="2023-04-21"/>
    <s v="META"/>
    <s v="Meta Platforms"/>
    <x v="0"/>
    <x v="2"/>
    <x v="1"/>
    <n v="350.23"/>
    <n v="470.67"/>
    <n v="3080"/>
    <n v="1078708.3999999999"/>
    <n v="1449663.6"/>
    <n v="370955.2"/>
    <n v="34.39"/>
    <x v="1"/>
    <n v="0.48459999999999998"/>
    <n v="1.57"/>
  </r>
  <r>
    <s v="AXE-0476"/>
    <s v="2023-12-02"/>
    <s v="MS"/>
    <s v="Morgan Stanley"/>
    <x v="4"/>
    <x v="3"/>
    <x v="1"/>
    <n v="88.55"/>
    <n v="89.03"/>
    <n v="1249"/>
    <n v="110598.95"/>
    <n v="111198.47"/>
    <n v="599.52"/>
    <n v="0.54"/>
    <x v="0"/>
    <n v="0.52790000000000004"/>
    <n v="1.39"/>
  </r>
  <r>
    <s v="AXE-0477"/>
    <s v="2023-05-11"/>
    <s v="META"/>
    <s v="Meta Platforms"/>
    <x v="0"/>
    <x v="1"/>
    <x v="3"/>
    <n v="377.45"/>
    <n v="393.39"/>
    <n v="1892"/>
    <n v="714135.4"/>
    <n v="744293.88"/>
    <n v="30158.48"/>
    <n v="4.22"/>
    <x v="0"/>
    <n v="0.23369999999999999"/>
    <n v="0.88"/>
  </r>
  <r>
    <s v="AXE-0478"/>
    <s v="2023-06-15"/>
    <s v="TSLA"/>
    <s v="Tesla Inc."/>
    <x v="6"/>
    <x v="2"/>
    <x v="3"/>
    <n v="247.58"/>
    <n v="370.65"/>
    <n v="3947"/>
    <n v="977198.26"/>
    <n v="1462955.55"/>
    <n v="485757.29"/>
    <n v="49.71"/>
    <x v="1"/>
    <n v="0.13719999999999999"/>
    <n v="1.38"/>
  </r>
  <r>
    <s v="AXE-0479"/>
    <s v="2023-12-22"/>
    <s v="NVDA"/>
    <s v="NVIDIA Corp."/>
    <x v="0"/>
    <x v="4"/>
    <x v="0"/>
    <n v="607.98"/>
    <n v="609.01"/>
    <n v="4840"/>
    <n v="2942623.2"/>
    <n v="2947608.4"/>
    <n v="4985.2"/>
    <n v="0.17"/>
    <x v="0"/>
    <n v="0.40110000000000001"/>
    <n v="1.04"/>
  </r>
  <r>
    <s v="AXE-0480"/>
    <s v="2023-06-14"/>
    <s v="GOOGL"/>
    <s v="Alphabet Inc."/>
    <x v="0"/>
    <x v="2"/>
    <x v="0"/>
    <n v="140.69"/>
    <n v="158.56"/>
    <n v="1925"/>
    <n v="270828.25"/>
    <n v="305228"/>
    <n v="34399.75"/>
    <n v="12.7"/>
    <x v="2"/>
    <n v="0.49309999999999998"/>
    <n v="1.18"/>
  </r>
  <r>
    <s v="AXE-0481"/>
    <s v="2023-09-11"/>
    <s v="BLK"/>
    <s v="BlackRock"/>
    <x v="4"/>
    <x v="3"/>
    <x v="1"/>
    <n v="765.94"/>
    <n v="797.34"/>
    <n v="1238"/>
    <n v="948233.72"/>
    <n v="987106.92"/>
    <n v="38873.199999999997"/>
    <n v="4.0999999999999996"/>
    <x v="0"/>
    <n v="0.34129999999999999"/>
    <n v="0.94"/>
  </r>
  <r>
    <s v="AXE-0482"/>
    <s v="2022-07-11"/>
    <s v="META"/>
    <s v="Meta Platforms"/>
    <x v="0"/>
    <x v="4"/>
    <x v="1"/>
    <n v="366.92"/>
    <n v="429.38"/>
    <n v="1069"/>
    <n v="392237.48"/>
    <n v="459007.22"/>
    <n v="66769.740000000005"/>
    <n v="17.02"/>
    <x v="2"/>
    <n v="0.26200000000000001"/>
    <n v="0.74"/>
  </r>
  <r>
    <s v="AXE-0483"/>
    <s v="2023-05-06"/>
    <s v="BLK"/>
    <s v="BlackRock"/>
    <x v="4"/>
    <x v="3"/>
    <x v="2"/>
    <n v="814.46"/>
    <n v="658.91"/>
    <n v="1420"/>
    <n v="1156533.2"/>
    <n v="935652.2"/>
    <n v="-220881"/>
    <n v="-19.100000000000001"/>
    <x v="2"/>
    <n v="0.2248"/>
    <n v="0.75"/>
  </r>
  <r>
    <s v="AXE-0484"/>
    <s v="2022-06-14"/>
    <s v="CAT"/>
    <s v="Caterpillar"/>
    <x v="1"/>
    <x v="3"/>
    <x v="1"/>
    <n v="268.14"/>
    <n v="263.52999999999997"/>
    <n v="421"/>
    <n v="112886.94"/>
    <n v="110946.13"/>
    <n v="-1940.81"/>
    <n v="-1.72"/>
    <x v="0"/>
    <n v="0.1915"/>
    <n v="1.71"/>
  </r>
  <r>
    <s v="AXE-0485"/>
    <s v="2023-02-20"/>
    <s v="NFLX"/>
    <s v="Netflix Inc."/>
    <x v="5"/>
    <x v="4"/>
    <x v="1"/>
    <n v="411.74"/>
    <n v="537.14"/>
    <n v="802"/>
    <n v="330215.48"/>
    <n v="430786.28"/>
    <n v="100570.8"/>
    <n v="30.46"/>
    <x v="1"/>
    <n v="0.32269999999999999"/>
    <n v="1.18"/>
  </r>
  <r>
    <s v="AXE-0486"/>
    <s v="2023-02-25"/>
    <s v="JPM"/>
    <s v="JPMorgan Chase"/>
    <x v="4"/>
    <x v="3"/>
    <x v="1"/>
    <n v="160.72999999999999"/>
    <n v="198.91"/>
    <n v="1589"/>
    <n v="255399.97"/>
    <n v="316067.99"/>
    <n v="60668.02"/>
    <n v="23.75"/>
    <x v="1"/>
    <n v="0.19209999999999999"/>
    <n v="1.42"/>
  </r>
  <r>
    <s v="AXE-0487"/>
    <s v="2023-09-03"/>
    <s v="PFE"/>
    <s v="Pfizer Inc."/>
    <x v="2"/>
    <x v="0"/>
    <x v="1"/>
    <n v="46.35"/>
    <n v="44.31"/>
    <n v="3198"/>
    <n v="148227.29999999999"/>
    <n v="141703.38"/>
    <n v="-6523.92"/>
    <n v="-4.4000000000000004"/>
    <x v="0"/>
    <n v="0.20699999999999999"/>
    <n v="1.63"/>
  </r>
  <r>
    <s v="AXE-0488"/>
    <s v="2023-12-02"/>
    <s v="NFLX"/>
    <s v="Netflix Inc."/>
    <x v="5"/>
    <x v="0"/>
    <x v="1"/>
    <n v="406.45"/>
    <n v="614.20000000000005"/>
    <n v="888"/>
    <n v="360927.6"/>
    <n v="545409.6"/>
    <n v="184482"/>
    <n v="51.11"/>
    <x v="1"/>
    <n v="0.37790000000000001"/>
    <n v="1.65"/>
  </r>
  <r>
    <s v="AXE-0489"/>
    <s v="2023-05-31"/>
    <s v="BA"/>
    <s v="Boeing Co."/>
    <x v="1"/>
    <x v="1"/>
    <x v="1"/>
    <n v="220.04"/>
    <n v="332.57"/>
    <n v="4050"/>
    <n v="891162"/>
    <n v="1346908.5"/>
    <n v="455746.5"/>
    <n v="51.14"/>
    <x v="1"/>
    <n v="0.35189999999999999"/>
    <n v="0.6"/>
  </r>
  <r>
    <s v="AXE-0490"/>
    <s v="2023-06-19"/>
    <s v="LLY"/>
    <s v="Eli Lilly"/>
    <x v="2"/>
    <x v="4"/>
    <x v="1"/>
    <n v="582.61"/>
    <n v="687.64"/>
    <n v="455"/>
    <n v="265087.55"/>
    <n v="312876.2"/>
    <n v="47788.65"/>
    <n v="18.03"/>
    <x v="2"/>
    <n v="0.52349999999999997"/>
    <n v="1.18"/>
  </r>
  <r>
    <s v="AXE-0491"/>
    <s v="2022-12-25"/>
    <s v="JNJ"/>
    <s v="J&amp;J"/>
    <x v="2"/>
    <x v="2"/>
    <x v="1"/>
    <n v="152.85"/>
    <n v="216.45"/>
    <n v="1196"/>
    <n v="182808.6"/>
    <n v="258874.2"/>
    <n v="76065.600000000006"/>
    <n v="41.61"/>
    <x v="1"/>
    <n v="0.51129999999999998"/>
    <n v="0.7"/>
  </r>
  <r>
    <s v="AXE-0492"/>
    <s v="2023-07-11"/>
    <s v="MS"/>
    <s v="Morgan Stanley"/>
    <x v="4"/>
    <x v="4"/>
    <x v="1"/>
    <n v="76.650000000000006"/>
    <n v="107.35"/>
    <n v="1648"/>
    <n v="126319.2"/>
    <n v="176912.8"/>
    <n v="50593.599999999999"/>
    <n v="40.049999999999997"/>
    <x v="1"/>
    <n v="0.1231"/>
    <n v="1.23"/>
  </r>
  <r>
    <s v="AXE-0493"/>
    <s v="2022-01-08"/>
    <s v="NFLX"/>
    <s v="Netflix Inc."/>
    <x v="5"/>
    <x v="0"/>
    <x v="1"/>
    <n v="437.69"/>
    <n v="417.82"/>
    <n v="2687"/>
    <n v="1176073.03"/>
    <n v="1122682.3400000001"/>
    <n v="-53390.69"/>
    <n v="-4.54"/>
    <x v="0"/>
    <n v="0.30320000000000003"/>
    <n v="1.3"/>
  </r>
  <r>
    <s v="AXE-0494"/>
    <s v="2023-07-03"/>
    <s v="GS"/>
    <s v="Goldman Sachs"/>
    <x v="4"/>
    <x v="3"/>
    <x v="1"/>
    <n v="392.75"/>
    <n v="618.29"/>
    <n v="3095"/>
    <n v="1215561.25"/>
    <n v="1913607.55"/>
    <n v="698046.3"/>
    <n v="57.43"/>
    <x v="1"/>
    <n v="0.29089999999999999"/>
    <n v="0.84"/>
  </r>
  <r>
    <s v="AXE-0495"/>
    <s v="2023-07-25"/>
    <s v="BA"/>
    <s v="Boeing Co."/>
    <x v="1"/>
    <x v="0"/>
    <x v="2"/>
    <n v="213.72"/>
    <n v="180.07"/>
    <n v="3132"/>
    <n v="669371.04"/>
    <n v="563979.24"/>
    <n v="-105391.8"/>
    <n v="-15.74"/>
    <x v="2"/>
    <n v="0.54510000000000003"/>
    <n v="1.29"/>
  </r>
  <r>
    <s v="AXE-0496"/>
    <s v="2022-05-22"/>
    <s v="JNJ"/>
    <s v="J&amp;J"/>
    <x v="2"/>
    <x v="0"/>
    <x v="1"/>
    <n v="179.01"/>
    <n v="276.48"/>
    <n v="3758"/>
    <n v="672719.58"/>
    <n v="1039011.84"/>
    <n v="366292.26"/>
    <n v="54.45"/>
    <x v="1"/>
    <n v="0.16309999999999999"/>
    <n v="1.21"/>
  </r>
  <r>
    <s v="AXE-0497"/>
    <s v="2023-07-18"/>
    <s v="CVX"/>
    <s v="Chevron Corp."/>
    <x v="3"/>
    <x v="0"/>
    <x v="1"/>
    <n v="182.3"/>
    <n v="161.1"/>
    <n v="3287"/>
    <n v="599220.1"/>
    <n v="529535.69999999995"/>
    <n v="-69684.399999999994"/>
    <n v="-11.63"/>
    <x v="2"/>
    <n v="0.15920000000000001"/>
    <n v="0.77"/>
  </r>
  <r>
    <s v="AXE-0498"/>
    <s v="2023-03-22"/>
    <s v="MS"/>
    <s v="Morgan Stanley"/>
    <x v="4"/>
    <x v="1"/>
    <x v="1"/>
    <n v="82.49"/>
    <n v="77.209999999999994"/>
    <n v="2255"/>
    <n v="186014.95"/>
    <n v="174108.55"/>
    <n v="-11906.4"/>
    <n v="-6.4"/>
    <x v="0"/>
    <n v="0.13619999999999999"/>
    <n v="1.06"/>
  </r>
  <r>
    <s v="AXE-0499"/>
    <s v="2023-09-21"/>
    <s v="JNJ"/>
    <s v="J&amp;J"/>
    <x v="2"/>
    <x v="3"/>
    <x v="0"/>
    <n v="187.06"/>
    <n v="272.02"/>
    <n v="570"/>
    <n v="106624.2"/>
    <n v="155051.4"/>
    <n v="48427.199999999997"/>
    <n v="45.42"/>
    <x v="1"/>
    <n v="0.39529999999999998"/>
    <n v="1.1299999999999999"/>
  </r>
  <r>
    <s v="AXE-0500"/>
    <s v="2023-11-04"/>
    <s v="TSLA"/>
    <s v="Tesla Inc."/>
    <x v="6"/>
    <x v="0"/>
    <x v="0"/>
    <n v="238.74"/>
    <n v="295.41000000000003"/>
    <n v="375"/>
    <n v="89527.5"/>
    <n v="110778.75"/>
    <n v="21251.25"/>
    <n v="23.74"/>
    <x v="1"/>
    <n v="0.42030000000000001"/>
    <n v="1.34"/>
  </r>
  <r>
    <s v="AXE-0501"/>
    <s v="2023-01-04"/>
    <s v="MSFT"/>
    <s v="Microsoft Corp."/>
    <x v="0"/>
    <x v="1"/>
    <x v="2"/>
    <n v="280.33999999999997"/>
    <n v="209.39"/>
    <n v="1389"/>
    <n v="389392.26"/>
    <n v="290842.71000000002"/>
    <n v="-98549.55"/>
    <n v="-25.31"/>
    <x v="1"/>
    <n v="0.2918"/>
    <n v="1.4"/>
  </r>
  <r>
    <s v="AXE-0502"/>
    <s v="2023-08-24"/>
    <s v="JNJ"/>
    <s v="J&amp;J"/>
    <x v="2"/>
    <x v="3"/>
    <x v="2"/>
    <n v="176.73"/>
    <n v="115.15"/>
    <n v="225"/>
    <n v="39764.25"/>
    <n v="25908.75"/>
    <n v="-13855.5"/>
    <n v="-34.840000000000003"/>
    <x v="1"/>
    <n v="0.1588"/>
    <n v="0.94"/>
  </r>
  <r>
    <s v="AXE-0503"/>
    <s v="2023-08-20"/>
    <s v="BA"/>
    <s v="Boeing Co."/>
    <x v="1"/>
    <x v="4"/>
    <x v="3"/>
    <n v="192.76"/>
    <n v="299.58"/>
    <n v="2365"/>
    <n v="455877.4"/>
    <n v="708506.7"/>
    <n v="252629.3"/>
    <n v="55.42"/>
    <x v="1"/>
    <n v="0.3155"/>
    <n v="1.08"/>
  </r>
  <r>
    <s v="AXE-0504"/>
    <s v="2022-09-25"/>
    <s v="AAPL"/>
    <s v="Apple Inc."/>
    <x v="0"/>
    <x v="2"/>
    <x v="1"/>
    <n v="154.34"/>
    <n v="143.63999999999999"/>
    <n v="4247"/>
    <n v="655481.98"/>
    <n v="610039.07999999996"/>
    <n v="-45442.9"/>
    <n v="-6.93"/>
    <x v="0"/>
    <n v="0.2465"/>
    <n v="1.74"/>
  </r>
  <r>
    <s v="AXE-0505"/>
    <s v="2022-09-21"/>
    <s v="NFLX"/>
    <s v="Netflix Inc."/>
    <x v="5"/>
    <x v="2"/>
    <x v="0"/>
    <n v="458.53"/>
    <n v="650.64"/>
    <n v="3189"/>
    <n v="1462252.17"/>
    <n v="2074890.96"/>
    <n v="612638.79"/>
    <n v="41.9"/>
    <x v="1"/>
    <n v="0.44569999999999999"/>
    <n v="1.75"/>
  </r>
  <r>
    <s v="AXE-0506"/>
    <s v="2023-11-29"/>
    <s v="PFE"/>
    <s v="Pfizer Inc."/>
    <x v="2"/>
    <x v="3"/>
    <x v="2"/>
    <n v="47.74"/>
    <n v="35.26"/>
    <n v="324"/>
    <n v="15467.76"/>
    <n v="11424.24"/>
    <n v="-4043.52"/>
    <n v="-26.14"/>
    <x v="1"/>
    <n v="0.28449999999999998"/>
    <n v="1.55"/>
  </r>
  <r>
    <s v="AXE-0507"/>
    <s v="2023-11-25"/>
    <s v="JPM"/>
    <s v="JPMorgan Chase"/>
    <x v="4"/>
    <x v="4"/>
    <x v="2"/>
    <n v="176.18"/>
    <n v="151.09"/>
    <n v="3478"/>
    <n v="612754.04"/>
    <n v="525491.02"/>
    <n v="-87263.02"/>
    <n v="-14.24"/>
    <x v="2"/>
    <n v="0.1242"/>
    <n v="1.6"/>
  </r>
  <r>
    <s v="AXE-0508"/>
    <s v="2022-10-22"/>
    <s v="JPM"/>
    <s v="JPMorgan Chase"/>
    <x v="4"/>
    <x v="2"/>
    <x v="1"/>
    <n v="135.29"/>
    <n v="207.26"/>
    <n v="2901"/>
    <n v="392476.29"/>
    <n v="601261.26"/>
    <n v="208784.97"/>
    <n v="53.2"/>
    <x v="1"/>
    <n v="0.32490000000000002"/>
    <n v="1.02"/>
  </r>
  <r>
    <s v="AXE-0509"/>
    <s v="2022-10-03"/>
    <s v="CAT"/>
    <s v="Caterpillar"/>
    <x v="1"/>
    <x v="0"/>
    <x v="1"/>
    <n v="257.07"/>
    <n v="268.48"/>
    <n v="4187"/>
    <n v="1076352.0900000001"/>
    <n v="1124125.76"/>
    <n v="47773.67"/>
    <n v="4.4400000000000004"/>
    <x v="0"/>
    <n v="0.22409999999999999"/>
    <n v="0.92"/>
  </r>
  <r>
    <s v="AXE-0510"/>
    <s v="2022-07-27"/>
    <s v="JPM"/>
    <s v="JPMorgan Chase"/>
    <x v="4"/>
    <x v="3"/>
    <x v="2"/>
    <n v="139"/>
    <n v="93"/>
    <n v="3016"/>
    <n v="419224"/>
    <n v="280488"/>
    <n v="-138736"/>
    <n v="-33.090000000000003"/>
    <x v="1"/>
    <n v="0.51570000000000005"/>
    <n v="1.41"/>
  </r>
  <r>
    <s v="AXE-0511"/>
    <s v="2023-09-21"/>
    <s v="BLK"/>
    <s v="BlackRock"/>
    <x v="4"/>
    <x v="3"/>
    <x v="1"/>
    <n v="861.43"/>
    <n v="981.89"/>
    <n v="446"/>
    <n v="384197.78"/>
    <n v="437922.94"/>
    <n v="53725.16"/>
    <n v="13.98"/>
    <x v="2"/>
    <n v="0.25559999999999999"/>
    <n v="1.68"/>
  </r>
  <r>
    <s v="AXE-0512"/>
    <s v="2022-10-09"/>
    <s v="CAT"/>
    <s v="Caterpillar"/>
    <x v="1"/>
    <x v="0"/>
    <x v="2"/>
    <n v="224.18"/>
    <n v="161.88999999999999"/>
    <n v="4287"/>
    <n v="961059.66"/>
    <n v="694022.43"/>
    <n v="-267037.23"/>
    <n v="-27.79"/>
    <x v="1"/>
    <n v="0.36799999999999999"/>
    <n v="0.66"/>
  </r>
  <r>
    <s v="AXE-0513"/>
    <s v="2023-05-05"/>
    <s v="LLY"/>
    <s v="Eli Lilly"/>
    <x v="2"/>
    <x v="3"/>
    <x v="1"/>
    <n v="532.46"/>
    <n v="724.38"/>
    <n v="2944"/>
    <n v="1567562.24"/>
    <n v="2132574.7200000002"/>
    <n v="565012.47999999998"/>
    <n v="36.04"/>
    <x v="1"/>
    <n v="0.19520000000000001"/>
    <n v="1.77"/>
  </r>
  <r>
    <s v="AXE-0514"/>
    <s v="2023-04-17"/>
    <s v="NFLX"/>
    <s v="Netflix Inc."/>
    <x v="5"/>
    <x v="1"/>
    <x v="3"/>
    <n v="473.5"/>
    <n v="542.44000000000005"/>
    <n v="196"/>
    <n v="92806"/>
    <n v="106318.24"/>
    <n v="13512.24"/>
    <n v="14.56"/>
    <x v="2"/>
    <n v="0.1633"/>
    <n v="1.03"/>
  </r>
  <r>
    <s v="AXE-0515"/>
    <s v="2022-07-11"/>
    <s v="GS"/>
    <s v="Goldman Sachs"/>
    <x v="4"/>
    <x v="0"/>
    <x v="0"/>
    <n v="376.73"/>
    <n v="493.2"/>
    <n v="2306"/>
    <n v="868739.38"/>
    <n v="1137319.2"/>
    <n v="268579.82"/>
    <n v="30.92"/>
    <x v="1"/>
    <n v="0.27729999999999999"/>
    <n v="1.2"/>
  </r>
  <r>
    <s v="AXE-0516"/>
    <s v="2023-03-06"/>
    <s v="TSLA"/>
    <s v="Tesla Inc."/>
    <x v="6"/>
    <x v="4"/>
    <x v="3"/>
    <n v="205.46"/>
    <n v="206.68"/>
    <n v="3381"/>
    <n v="694660.26"/>
    <n v="698785.08"/>
    <n v="4124.82"/>
    <n v="0.59"/>
    <x v="0"/>
    <n v="0.1764"/>
    <n v="1.29"/>
  </r>
  <r>
    <s v="AXE-0517"/>
    <s v="2022-04-13"/>
    <s v="JPM"/>
    <s v="JPMorgan Chase"/>
    <x v="4"/>
    <x v="0"/>
    <x v="0"/>
    <n v="151.85"/>
    <n v="174.11"/>
    <n v="4649"/>
    <n v="705950.65"/>
    <n v="809437.39"/>
    <n v="103486.74"/>
    <n v="14.66"/>
    <x v="2"/>
    <n v="0.1827"/>
    <n v="1.75"/>
  </r>
  <r>
    <s v="AXE-0518"/>
    <s v="2023-04-30"/>
    <s v="META"/>
    <s v="Meta Platforms"/>
    <x v="0"/>
    <x v="0"/>
    <x v="1"/>
    <n v="349.96"/>
    <n v="551.85"/>
    <n v="3553"/>
    <n v="1243407.8799999999"/>
    <n v="1960723.05"/>
    <n v="717315.17"/>
    <n v="57.69"/>
    <x v="1"/>
    <n v="0.48520000000000002"/>
    <n v="1.22"/>
  </r>
  <r>
    <s v="AXE-0519"/>
    <s v="2023-05-14"/>
    <s v="CVX"/>
    <s v="Chevron Corp."/>
    <x v="3"/>
    <x v="4"/>
    <x v="0"/>
    <n v="177.21"/>
    <n v="161.86000000000001"/>
    <n v="4705"/>
    <n v="833773.05"/>
    <n v="761551.3"/>
    <n v="-72221.75"/>
    <n v="-8.66"/>
    <x v="2"/>
    <n v="0.16259999999999999"/>
    <n v="0.8"/>
  </r>
  <r>
    <s v="AXE-0520"/>
    <s v="2022-09-18"/>
    <s v="TSLA"/>
    <s v="Tesla Inc."/>
    <x v="6"/>
    <x v="1"/>
    <x v="2"/>
    <n v="236.14"/>
    <n v="174.62"/>
    <n v="3785"/>
    <n v="893789.9"/>
    <n v="660936.69999999995"/>
    <n v="-232853.2"/>
    <n v="-26.05"/>
    <x v="1"/>
    <n v="0.27489999999999998"/>
    <n v="1.27"/>
  </r>
  <r>
    <s v="AXE-0521"/>
    <s v="2022-12-19"/>
    <s v="GS"/>
    <s v="Goldman Sachs"/>
    <x v="4"/>
    <x v="2"/>
    <x v="1"/>
    <n v="363.02"/>
    <n v="492.15"/>
    <n v="1093"/>
    <n v="396780.86"/>
    <n v="537919.94999999995"/>
    <n v="141139.09"/>
    <n v="35.57"/>
    <x v="1"/>
    <n v="0.38040000000000002"/>
    <n v="1.29"/>
  </r>
  <r>
    <s v="AXE-0522"/>
    <s v="2022-06-28"/>
    <s v="BA"/>
    <s v="Boeing Co."/>
    <x v="1"/>
    <x v="4"/>
    <x v="0"/>
    <n v="220.91"/>
    <n v="269.79000000000002"/>
    <n v="2763"/>
    <n v="610374.32999999996"/>
    <n v="745429.77"/>
    <n v="135055.44"/>
    <n v="22.13"/>
    <x v="1"/>
    <n v="0.43669999999999998"/>
    <n v="1.67"/>
  </r>
  <r>
    <s v="AXE-0523"/>
    <s v="2023-09-21"/>
    <s v="JNJ"/>
    <s v="J&amp;J"/>
    <x v="2"/>
    <x v="2"/>
    <x v="0"/>
    <n v="183.23"/>
    <n v="243.4"/>
    <n v="1286"/>
    <n v="235633.78"/>
    <n v="313012.40000000002"/>
    <n v="77378.62"/>
    <n v="32.840000000000003"/>
    <x v="1"/>
    <n v="0.51929999999999998"/>
    <n v="1.1100000000000001"/>
  </r>
  <r>
    <s v="AXE-0524"/>
    <s v="2023-08-09"/>
    <s v="MS"/>
    <s v="Morgan Stanley"/>
    <x v="4"/>
    <x v="1"/>
    <x v="1"/>
    <n v="80.87"/>
    <n v="84.08"/>
    <n v="748"/>
    <n v="60490.76"/>
    <n v="62891.839999999997"/>
    <n v="2401.08"/>
    <n v="3.97"/>
    <x v="0"/>
    <n v="0.25629999999999997"/>
    <n v="0.95"/>
  </r>
  <r>
    <s v="AXE-0525"/>
    <s v="2023-09-12"/>
    <s v="GS"/>
    <s v="Goldman Sachs"/>
    <x v="4"/>
    <x v="4"/>
    <x v="1"/>
    <n v="412.03"/>
    <n v="633.35"/>
    <n v="3744"/>
    <n v="1542640.32"/>
    <n v="2371262.4"/>
    <n v="828622.08"/>
    <n v="53.71"/>
    <x v="1"/>
    <n v="0.44159999999999999"/>
    <n v="1.23"/>
  </r>
  <r>
    <s v="AXE-0526"/>
    <s v="2023-02-28"/>
    <s v="PFE"/>
    <s v="Pfizer Inc."/>
    <x v="2"/>
    <x v="0"/>
    <x v="1"/>
    <n v="42.6"/>
    <n v="44.48"/>
    <n v="289"/>
    <n v="12311.4"/>
    <n v="12854.72"/>
    <n v="543.32000000000005"/>
    <n v="4.41"/>
    <x v="0"/>
    <n v="0.22819999999999999"/>
    <n v="1.49"/>
  </r>
  <r>
    <s v="AXE-0527"/>
    <s v="2022-08-04"/>
    <s v="GOOGL"/>
    <s v="Alphabet Inc."/>
    <x v="0"/>
    <x v="2"/>
    <x v="1"/>
    <n v="123.01"/>
    <n v="188.91"/>
    <n v="943"/>
    <n v="115998.43"/>
    <n v="178142.13"/>
    <n v="62143.7"/>
    <n v="53.57"/>
    <x v="1"/>
    <n v="0.32350000000000001"/>
    <n v="0.66"/>
  </r>
  <r>
    <s v="AXE-0528"/>
    <s v="2023-06-21"/>
    <s v="JNJ"/>
    <s v="J&amp;J"/>
    <x v="2"/>
    <x v="1"/>
    <x v="1"/>
    <n v="170.85"/>
    <n v="160.43"/>
    <n v="2250"/>
    <n v="384412.5"/>
    <n v="360967.5"/>
    <n v="-23445"/>
    <n v="-6.1"/>
    <x v="0"/>
    <n v="0.52059999999999995"/>
    <n v="1.07"/>
  </r>
  <r>
    <s v="AXE-0529"/>
    <s v="2022-09-11"/>
    <s v="JPM"/>
    <s v="JPMorgan Chase"/>
    <x v="4"/>
    <x v="2"/>
    <x v="0"/>
    <n v="137.85"/>
    <n v="202.22"/>
    <n v="1135"/>
    <n v="156459.75"/>
    <n v="229519.7"/>
    <n v="73059.95"/>
    <n v="46.7"/>
    <x v="1"/>
    <n v="0.1323"/>
    <n v="1.4"/>
  </r>
  <r>
    <s v="AXE-0530"/>
    <s v="2023-05-03"/>
    <s v="CVX"/>
    <s v="Chevron Corp."/>
    <x v="3"/>
    <x v="3"/>
    <x v="2"/>
    <n v="162.33000000000001"/>
    <n v="110.73"/>
    <n v="2331"/>
    <n v="378391.23"/>
    <n v="258111.63"/>
    <n v="-120279.6"/>
    <n v="-31.79"/>
    <x v="1"/>
    <n v="0.52780000000000005"/>
    <n v="1.25"/>
  </r>
  <r>
    <s v="AXE-0531"/>
    <s v="2023-09-04"/>
    <s v="CAT"/>
    <s v="Caterpillar"/>
    <x v="1"/>
    <x v="3"/>
    <x v="2"/>
    <n v="241.69"/>
    <n v="220.95"/>
    <n v="3663"/>
    <n v="885310.47"/>
    <n v="809339.85"/>
    <n v="-75970.62"/>
    <n v="-8.58"/>
    <x v="2"/>
    <n v="0.25319999999999998"/>
    <n v="1.02"/>
  </r>
  <r>
    <s v="AXE-0532"/>
    <s v="2022-08-21"/>
    <s v="BA"/>
    <s v="Boeing Co."/>
    <x v="1"/>
    <x v="2"/>
    <x v="1"/>
    <n v="201.54"/>
    <n v="214.01"/>
    <n v="2622"/>
    <n v="528437.88"/>
    <n v="561134.22"/>
    <n v="32696.34"/>
    <n v="6.19"/>
    <x v="0"/>
    <n v="0.2505"/>
    <n v="0.6"/>
  </r>
  <r>
    <s v="AXE-0533"/>
    <s v="2022-12-19"/>
    <s v="META"/>
    <s v="Meta Platforms"/>
    <x v="0"/>
    <x v="2"/>
    <x v="0"/>
    <n v="298.37"/>
    <n v="455.15"/>
    <n v="4483"/>
    <n v="1337592.71"/>
    <n v="2040437.45"/>
    <n v="702844.74"/>
    <n v="52.55"/>
    <x v="1"/>
    <n v="0.5272"/>
    <n v="1.17"/>
  </r>
  <r>
    <s v="AXE-0534"/>
    <s v="2023-03-17"/>
    <s v="AAPL"/>
    <s v="Apple Inc."/>
    <x v="0"/>
    <x v="3"/>
    <x v="0"/>
    <n v="190.58"/>
    <n v="240.85"/>
    <n v="1994"/>
    <n v="380016.52"/>
    <n v="480254.9"/>
    <n v="100238.38"/>
    <n v="26.38"/>
    <x v="1"/>
    <n v="0.2011"/>
    <n v="1.66"/>
  </r>
  <r>
    <s v="AXE-0535"/>
    <s v="2023-02-09"/>
    <s v="LLY"/>
    <s v="Eli Lilly"/>
    <x v="2"/>
    <x v="0"/>
    <x v="2"/>
    <n v="604.19000000000005"/>
    <n v="435.91"/>
    <n v="3292"/>
    <n v="1988993.48"/>
    <n v="1435015.72"/>
    <n v="-553977.76"/>
    <n v="-27.85"/>
    <x v="1"/>
    <n v="0.15409999999999999"/>
    <n v="1.35"/>
  </r>
  <r>
    <s v="AXE-0536"/>
    <s v="2023-09-20"/>
    <s v="NFLX"/>
    <s v="Netflix Inc."/>
    <x v="5"/>
    <x v="4"/>
    <x v="0"/>
    <n v="491.69"/>
    <n v="574.79999999999995"/>
    <n v="4457"/>
    <n v="2191462.33"/>
    <n v="2561883.6"/>
    <n v="370421.27"/>
    <n v="16.899999999999999"/>
    <x v="2"/>
    <n v="0.48699999999999999"/>
    <n v="0.82"/>
  </r>
  <r>
    <s v="AXE-0537"/>
    <s v="2022-04-24"/>
    <s v="XOM"/>
    <s v="Exxon Mobil"/>
    <x v="3"/>
    <x v="3"/>
    <x v="2"/>
    <n v="97.82"/>
    <n v="88.67"/>
    <n v="3809"/>
    <n v="372596.38"/>
    <n v="337744.03"/>
    <n v="-34852.35"/>
    <n v="-9.35"/>
    <x v="2"/>
    <n v="0.20069999999999999"/>
    <n v="0.62"/>
  </r>
  <r>
    <s v="AXE-0538"/>
    <s v="2023-07-02"/>
    <s v="MSFT"/>
    <s v="Microsoft Corp."/>
    <x v="0"/>
    <x v="0"/>
    <x v="1"/>
    <n v="299.08"/>
    <n v="289.37"/>
    <n v="937"/>
    <n v="280237.96000000002"/>
    <n v="271139.69"/>
    <n v="-9098.27"/>
    <n v="-3.25"/>
    <x v="0"/>
    <n v="0.3085"/>
    <n v="0.61"/>
  </r>
  <r>
    <s v="AXE-0539"/>
    <s v="2022-06-04"/>
    <s v="GOOGL"/>
    <s v="Alphabet Inc."/>
    <x v="0"/>
    <x v="2"/>
    <x v="1"/>
    <n v="133.36000000000001"/>
    <n v="146.44"/>
    <n v="1879"/>
    <n v="250583.44"/>
    <n v="275160.76"/>
    <n v="24577.32"/>
    <n v="9.81"/>
    <x v="2"/>
    <n v="0.46379999999999999"/>
    <n v="1.8"/>
  </r>
  <r>
    <s v="AXE-0540"/>
    <s v="2023-12-15"/>
    <s v="PFE"/>
    <s v="Pfizer Inc."/>
    <x v="2"/>
    <x v="4"/>
    <x v="1"/>
    <n v="52.95"/>
    <n v="81.87"/>
    <n v="757"/>
    <n v="40083.15"/>
    <n v="61975.59"/>
    <n v="21892.44"/>
    <n v="54.62"/>
    <x v="1"/>
    <n v="0.14410000000000001"/>
    <n v="1.53"/>
  </r>
  <r>
    <s v="AXE-0541"/>
    <s v="2023-07-11"/>
    <s v="GOOGL"/>
    <s v="Alphabet Inc."/>
    <x v="0"/>
    <x v="0"/>
    <x v="2"/>
    <n v="156.62"/>
    <n v="115.12"/>
    <n v="1674"/>
    <n v="262181.88"/>
    <n v="192710.88"/>
    <n v="-69471"/>
    <n v="-26.5"/>
    <x v="1"/>
    <n v="0.28410000000000002"/>
    <n v="0.62"/>
  </r>
  <r>
    <s v="AXE-0542"/>
    <s v="2023-01-30"/>
    <s v="JPM"/>
    <s v="JPMorgan Chase"/>
    <x v="4"/>
    <x v="0"/>
    <x v="2"/>
    <n v="141.01"/>
    <n v="135.12"/>
    <n v="374"/>
    <n v="52737.74"/>
    <n v="50534.879999999997"/>
    <n v="-2202.86"/>
    <n v="-4.18"/>
    <x v="0"/>
    <n v="0.16039999999999999"/>
    <n v="1.4"/>
  </r>
  <r>
    <s v="AXE-0543"/>
    <s v="2023-04-30"/>
    <s v="TSLA"/>
    <s v="Tesla Inc."/>
    <x v="6"/>
    <x v="4"/>
    <x v="1"/>
    <n v="197.47"/>
    <n v="274.44"/>
    <n v="2746"/>
    <n v="542252.62"/>
    <n v="753612.24"/>
    <n v="211359.62"/>
    <n v="38.979999999999997"/>
    <x v="1"/>
    <n v="0.44019999999999998"/>
    <n v="1.26"/>
  </r>
  <r>
    <s v="AXE-0544"/>
    <s v="2022-09-17"/>
    <s v="NVDA"/>
    <s v="NVIDIA Corp."/>
    <x v="0"/>
    <x v="4"/>
    <x v="2"/>
    <n v="574.88"/>
    <n v="370.2"/>
    <n v="1727"/>
    <n v="992817.76"/>
    <n v="639335.4"/>
    <n v="-353482.36"/>
    <n v="-35.6"/>
    <x v="1"/>
    <n v="0.40670000000000001"/>
    <n v="1.77"/>
  </r>
  <r>
    <s v="AXE-0545"/>
    <s v="2023-10-11"/>
    <s v="JPM"/>
    <s v="JPMorgan Chase"/>
    <x v="4"/>
    <x v="4"/>
    <x v="1"/>
    <n v="139.53"/>
    <n v="149.75"/>
    <n v="223"/>
    <n v="31115.19"/>
    <n v="33394.25"/>
    <n v="2279.06"/>
    <n v="7.32"/>
    <x v="0"/>
    <n v="0.1714"/>
    <n v="1.55"/>
  </r>
  <r>
    <s v="AXE-0546"/>
    <s v="2022-02-13"/>
    <s v="AAPL"/>
    <s v="Apple Inc."/>
    <x v="0"/>
    <x v="3"/>
    <x v="2"/>
    <n v="168.25"/>
    <n v="111.24"/>
    <n v="1369"/>
    <n v="230334.25"/>
    <n v="152287.56"/>
    <n v="-78046.69"/>
    <n v="-33.880000000000003"/>
    <x v="1"/>
    <n v="0.18779999999999999"/>
    <n v="0.71"/>
  </r>
  <r>
    <s v="AXE-0547"/>
    <s v="2022-12-13"/>
    <s v="MS"/>
    <s v="Morgan Stanley"/>
    <x v="4"/>
    <x v="1"/>
    <x v="1"/>
    <n v="93.9"/>
    <n v="128.72999999999999"/>
    <n v="3012"/>
    <n v="282826.8"/>
    <n v="387734.76"/>
    <n v="104907.96"/>
    <n v="37.090000000000003"/>
    <x v="1"/>
    <n v="0.46029999999999999"/>
    <n v="0.75"/>
  </r>
  <r>
    <s v="AXE-0548"/>
    <s v="2022-11-21"/>
    <s v="JPM"/>
    <s v="JPMorgan Chase"/>
    <x v="4"/>
    <x v="2"/>
    <x v="3"/>
    <n v="132.74"/>
    <n v="151.91"/>
    <n v="1680"/>
    <n v="223003.2"/>
    <n v="255208.8"/>
    <n v="32205.599999999999"/>
    <n v="14.44"/>
    <x v="2"/>
    <n v="0.43149999999999999"/>
    <n v="0.9"/>
  </r>
  <r>
    <s v="AXE-0549"/>
    <s v="2023-05-12"/>
    <s v="MSFT"/>
    <s v="Microsoft Corp."/>
    <x v="0"/>
    <x v="3"/>
    <x v="2"/>
    <n v="324.10000000000002"/>
    <n v="274.01"/>
    <n v="2514"/>
    <n v="814787.4"/>
    <n v="688861.14"/>
    <n v="-125926.26"/>
    <n v="-15.46"/>
    <x v="2"/>
    <n v="0.36370000000000002"/>
    <n v="1.25"/>
  </r>
  <r>
    <s v="AXE-0550"/>
    <s v="2023-04-25"/>
    <s v="CVX"/>
    <s v="Chevron Corp."/>
    <x v="3"/>
    <x v="3"/>
    <x v="0"/>
    <n v="143.69999999999999"/>
    <n v="179.88"/>
    <n v="4642"/>
    <n v="667055.4"/>
    <n v="835002.96"/>
    <n v="167947.56"/>
    <n v="25.18"/>
    <x v="1"/>
    <n v="0.31319999999999998"/>
    <n v="1.58"/>
  </r>
  <r>
    <s v="AXE-0551"/>
    <s v="2023-01-11"/>
    <s v="BA"/>
    <s v="Boeing Co."/>
    <x v="1"/>
    <x v="1"/>
    <x v="2"/>
    <n v="202.38"/>
    <n v="142.75"/>
    <n v="4244"/>
    <n v="858900.72"/>
    <n v="605831"/>
    <n v="-253069.72"/>
    <n v="-29.46"/>
    <x v="1"/>
    <n v="0.128"/>
    <n v="1.63"/>
  </r>
  <r>
    <s v="AXE-0552"/>
    <s v="2022-09-02"/>
    <s v="MS"/>
    <s v="Morgan Stanley"/>
    <x v="4"/>
    <x v="1"/>
    <x v="3"/>
    <n v="98.61"/>
    <n v="99.88"/>
    <n v="4515"/>
    <n v="445224.15"/>
    <n v="450958.2"/>
    <n v="5734.05"/>
    <n v="1.29"/>
    <x v="0"/>
    <n v="0.4138"/>
    <n v="1.52"/>
  </r>
  <r>
    <s v="AXE-0553"/>
    <s v="2023-09-20"/>
    <s v="META"/>
    <s v="Meta Platforms"/>
    <x v="0"/>
    <x v="4"/>
    <x v="0"/>
    <n v="364.79"/>
    <n v="349.22"/>
    <n v="3457"/>
    <n v="1261079.03"/>
    <n v="1207253.54"/>
    <n v="-53825.49"/>
    <n v="-4.2699999999999996"/>
    <x v="0"/>
    <n v="0.34499999999999997"/>
    <n v="0.68"/>
  </r>
  <r>
    <s v="AXE-0554"/>
    <s v="2022-07-02"/>
    <s v="META"/>
    <s v="Meta Platforms"/>
    <x v="0"/>
    <x v="0"/>
    <x v="1"/>
    <n v="348.46"/>
    <n v="330.73"/>
    <n v="976"/>
    <n v="340096.96"/>
    <n v="322792.48"/>
    <n v="-17304.48"/>
    <n v="-5.09"/>
    <x v="0"/>
    <n v="0.36549999999999999"/>
    <n v="1.6"/>
  </r>
  <r>
    <s v="AXE-0555"/>
    <s v="2023-06-23"/>
    <s v="BLK"/>
    <s v="BlackRock"/>
    <x v="4"/>
    <x v="1"/>
    <x v="0"/>
    <n v="714.65"/>
    <n v="988"/>
    <n v="3101"/>
    <n v="2216129.65"/>
    <n v="3063788"/>
    <n v="847658.35"/>
    <n v="38.25"/>
    <x v="1"/>
    <n v="0.12559999999999999"/>
    <n v="1.71"/>
  </r>
  <r>
    <s v="AXE-0556"/>
    <s v="2022-03-23"/>
    <s v="BLK"/>
    <s v="BlackRock"/>
    <x v="4"/>
    <x v="1"/>
    <x v="2"/>
    <n v="793.58"/>
    <n v="834.52"/>
    <n v="3056"/>
    <n v="2425180.48"/>
    <n v="2550293.12"/>
    <n v="125112.64"/>
    <n v="5.16"/>
    <x v="0"/>
    <n v="0.2989"/>
    <n v="1.04"/>
  </r>
  <r>
    <s v="AXE-0557"/>
    <s v="2023-09-24"/>
    <s v="MSFT"/>
    <s v="Microsoft Corp."/>
    <x v="0"/>
    <x v="3"/>
    <x v="0"/>
    <n v="342.49"/>
    <n v="501.45"/>
    <n v="433"/>
    <n v="148298.17000000001"/>
    <n v="217127.85"/>
    <n v="68829.679999999993"/>
    <n v="46.41"/>
    <x v="1"/>
    <n v="0.1535"/>
    <n v="0.86"/>
  </r>
  <r>
    <s v="AXE-0558"/>
    <s v="2022-04-10"/>
    <s v="NFLX"/>
    <s v="Netflix Inc."/>
    <x v="5"/>
    <x v="0"/>
    <x v="1"/>
    <n v="434.52"/>
    <n v="441.12"/>
    <n v="4455"/>
    <n v="1935786.6"/>
    <n v="1965189.6"/>
    <n v="29403"/>
    <n v="1.52"/>
    <x v="0"/>
    <n v="0.40250000000000002"/>
    <n v="1.28"/>
  </r>
  <r>
    <s v="AXE-0559"/>
    <s v="2023-07-26"/>
    <s v="AMZN"/>
    <s v="Amazon.com"/>
    <x v="6"/>
    <x v="1"/>
    <x v="1"/>
    <n v="138.82"/>
    <n v="166.74"/>
    <n v="4823"/>
    <n v="669528.86"/>
    <n v="804187.02"/>
    <n v="134658.16"/>
    <n v="20.11"/>
    <x v="2"/>
    <n v="0.40610000000000002"/>
    <n v="1.66"/>
  </r>
  <r>
    <s v="AXE-0560"/>
    <s v="2022-07-04"/>
    <s v="AMZN"/>
    <s v="Amazon.com"/>
    <x v="6"/>
    <x v="3"/>
    <x v="1"/>
    <n v="151.85"/>
    <n v="190.38"/>
    <n v="2864"/>
    <n v="434898.4"/>
    <n v="545248.31999999995"/>
    <n v="110349.92"/>
    <n v="25.37"/>
    <x v="1"/>
    <n v="0.378"/>
    <n v="1.72"/>
  </r>
  <r>
    <s v="AXE-0561"/>
    <s v="2023-07-18"/>
    <s v="CVX"/>
    <s v="Chevron Corp."/>
    <x v="3"/>
    <x v="4"/>
    <x v="3"/>
    <n v="172.68"/>
    <n v="204.01"/>
    <n v="3477"/>
    <n v="600408.36"/>
    <n v="709342.77"/>
    <n v="108934.41"/>
    <n v="18.14"/>
    <x v="2"/>
    <n v="0.43209999999999998"/>
    <n v="1.33"/>
  </r>
  <r>
    <s v="AXE-0562"/>
    <s v="2023-07-13"/>
    <s v="CAT"/>
    <s v="Caterpillar"/>
    <x v="1"/>
    <x v="2"/>
    <x v="2"/>
    <n v="270.68"/>
    <n v="199.46"/>
    <n v="4607"/>
    <n v="1247022.76"/>
    <n v="918912.22"/>
    <n v="-328110.53999999998"/>
    <n v="-26.31"/>
    <x v="1"/>
    <n v="0.53349999999999997"/>
    <n v="1.1399999999999999"/>
  </r>
  <r>
    <s v="AXE-0563"/>
    <s v="2022-01-01"/>
    <s v="JNJ"/>
    <s v="J&amp;J"/>
    <x v="2"/>
    <x v="4"/>
    <x v="1"/>
    <n v="141.06"/>
    <n v="137.47"/>
    <n v="4980"/>
    <n v="702478.8"/>
    <n v="684600.6"/>
    <n v="-17878.2"/>
    <n v="-2.5499999999999998"/>
    <x v="0"/>
    <n v="0.50280000000000002"/>
    <n v="0.61"/>
  </r>
  <r>
    <s v="AXE-0564"/>
    <s v="2022-08-08"/>
    <s v="JPM"/>
    <s v="JPMorgan Chase"/>
    <x v="4"/>
    <x v="1"/>
    <x v="3"/>
    <n v="174.49"/>
    <n v="216"/>
    <n v="2360"/>
    <n v="411796.4"/>
    <n v="509760"/>
    <n v="97963.6"/>
    <n v="23.79"/>
    <x v="1"/>
    <n v="0.3654"/>
    <n v="1.29"/>
  </r>
  <r>
    <s v="AXE-0565"/>
    <s v="2022-02-08"/>
    <s v="NVDA"/>
    <s v="NVIDIA Corp."/>
    <x v="0"/>
    <x v="4"/>
    <x v="2"/>
    <n v="534.91"/>
    <n v="421.97"/>
    <n v="1378"/>
    <n v="737105.98"/>
    <n v="581474.66"/>
    <n v="-155631.32"/>
    <n v="-21.11"/>
    <x v="2"/>
    <n v="0.37030000000000002"/>
    <n v="0.88"/>
  </r>
  <r>
    <s v="AXE-0566"/>
    <s v="2022-04-05"/>
    <s v="XOM"/>
    <s v="Exxon Mobil"/>
    <x v="3"/>
    <x v="3"/>
    <x v="1"/>
    <n v="112.38"/>
    <n v="155.82"/>
    <n v="1881"/>
    <n v="211386.78"/>
    <n v="293097.42"/>
    <n v="81710.64"/>
    <n v="38.65"/>
    <x v="1"/>
    <n v="0.46089999999999998"/>
    <n v="0.81"/>
  </r>
  <r>
    <s v="AXE-0567"/>
    <s v="2022-04-08"/>
    <s v="CAT"/>
    <s v="Caterpillar"/>
    <x v="1"/>
    <x v="1"/>
    <x v="0"/>
    <n v="231.47"/>
    <n v="330.1"/>
    <n v="4820"/>
    <n v="1115685.3999999999"/>
    <n v="1591082"/>
    <n v="475396.6"/>
    <n v="42.61"/>
    <x v="1"/>
    <n v="0.51639999999999997"/>
    <n v="1"/>
  </r>
  <r>
    <s v="AXE-0568"/>
    <s v="2023-03-03"/>
    <s v="LLY"/>
    <s v="Eli Lilly"/>
    <x v="2"/>
    <x v="0"/>
    <x v="1"/>
    <n v="572.09"/>
    <n v="756.61"/>
    <n v="193"/>
    <n v="110413.37"/>
    <n v="146025.73000000001"/>
    <n v="35612.36"/>
    <n v="32.25"/>
    <x v="1"/>
    <n v="0.14330000000000001"/>
    <n v="1.23"/>
  </r>
  <r>
    <s v="AXE-0569"/>
    <s v="2023-07-07"/>
    <s v="CVX"/>
    <s v="Chevron Corp."/>
    <x v="3"/>
    <x v="4"/>
    <x v="1"/>
    <n v="169.49"/>
    <n v="167.33"/>
    <n v="4215"/>
    <n v="714400.35"/>
    <n v="705295.95"/>
    <n v="-9104.4"/>
    <n v="-1.27"/>
    <x v="0"/>
    <n v="0.40970000000000001"/>
    <n v="1.8"/>
  </r>
  <r>
    <s v="AXE-0570"/>
    <s v="2023-09-02"/>
    <s v="PFE"/>
    <s v="Pfizer Inc."/>
    <x v="2"/>
    <x v="0"/>
    <x v="1"/>
    <n v="44.97"/>
    <n v="51.99"/>
    <n v="3638"/>
    <n v="163600.85999999999"/>
    <n v="189139.62"/>
    <n v="25538.76"/>
    <n v="15.61"/>
    <x v="2"/>
    <n v="0.17680000000000001"/>
    <n v="0.7"/>
  </r>
  <r>
    <s v="AXE-0571"/>
    <s v="2022-02-20"/>
    <s v="CAT"/>
    <s v="Caterpillar"/>
    <x v="1"/>
    <x v="4"/>
    <x v="1"/>
    <n v="232.69"/>
    <n v="275.54000000000002"/>
    <n v="796"/>
    <n v="185221.24"/>
    <n v="219329.84"/>
    <n v="34108.6"/>
    <n v="18.420000000000002"/>
    <x v="2"/>
    <n v="0.42009999999999997"/>
    <n v="1.51"/>
  </r>
  <r>
    <s v="AXE-0572"/>
    <s v="2023-07-27"/>
    <s v="BLK"/>
    <s v="BlackRock"/>
    <x v="4"/>
    <x v="2"/>
    <x v="2"/>
    <n v="815.63"/>
    <n v="579.27"/>
    <n v="3338"/>
    <n v="2722572.94"/>
    <n v="1933603.26"/>
    <n v="-788969.68"/>
    <n v="-28.98"/>
    <x v="1"/>
    <n v="0.38490000000000002"/>
    <n v="1.48"/>
  </r>
  <r>
    <s v="AXE-0573"/>
    <s v="2022-09-06"/>
    <s v="JPM"/>
    <s v="JPMorgan Chase"/>
    <x v="4"/>
    <x v="4"/>
    <x v="1"/>
    <n v="146.79"/>
    <n v="224.13"/>
    <n v="3623"/>
    <n v="531820.17000000004"/>
    <n v="812022.99"/>
    <n v="280202.82"/>
    <n v="52.69"/>
    <x v="1"/>
    <n v="0.1585"/>
    <n v="1.41"/>
  </r>
  <r>
    <s v="AXE-0574"/>
    <s v="2023-01-10"/>
    <s v="LLY"/>
    <s v="Eli Lilly"/>
    <x v="2"/>
    <x v="0"/>
    <x v="3"/>
    <n v="524.35"/>
    <n v="701.99"/>
    <n v="2727"/>
    <n v="1429902.45"/>
    <n v="1914326.73"/>
    <n v="484424.28"/>
    <n v="33.880000000000003"/>
    <x v="1"/>
    <n v="0.45100000000000001"/>
    <n v="0.8"/>
  </r>
  <r>
    <s v="AXE-0575"/>
    <s v="2023-09-24"/>
    <s v="OXY"/>
    <s v="Occidental Pet."/>
    <x v="3"/>
    <x v="3"/>
    <x v="2"/>
    <n v="63.84"/>
    <n v="66.72"/>
    <n v="1294"/>
    <n v="82608.960000000006"/>
    <n v="86335.679999999993"/>
    <n v="3726.72"/>
    <n v="4.51"/>
    <x v="0"/>
    <n v="0.22040000000000001"/>
    <n v="1.42"/>
  </r>
  <r>
    <s v="AXE-0576"/>
    <s v="2022-03-29"/>
    <s v="META"/>
    <s v="Meta Platforms"/>
    <x v="0"/>
    <x v="1"/>
    <x v="1"/>
    <n v="397.14"/>
    <n v="607.11"/>
    <n v="2091"/>
    <n v="830419.74"/>
    <n v="1269467.01"/>
    <n v="439047.27"/>
    <n v="52.87"/>
    <x v="1"/>
    <n v="0.49359999999999998"/>
    <n v="1.58"/>
  </r>
  <r>
    <s v="AXE-0577"/>
    <s v="2022-12-18"/>
    <s v="AAPL"/>
    <s v="Apple Inc."/>
    <x v="0"/>
    <x v="4"/>
    <x v="1"/>
    <n v="173.49"/>
    <n v="192.98"/>
    <n v="3786"/>
    <n v="656833.14"/>
    <n v="730622.28"/>
    <n v="73789.14"/>
    <n v="11.23"/>
    <x v="2"/>
    <n v="0.43819999999999998"/>
    <n v="0.85"/>
  </r>
  <r>
    <s v="AXE-0578"/>
    <s v="2023-06-20"/>
    <s v="BA"/>
    <s v="Boeing Co."/>
    <x v="1"/>
    <x v="3"/>
    <x v="0"/>
    <n v="217.75"/>
    <n v="342.87"/>
    <n v="4056"/>
    <n v="883194"/>
    <n v="1390680.72"/>
    <n v="507486.71999999997"/>
    <n v="57.46"/>
    <x v="1"/>
    <n v="0.41889999999999999"/>
    <n v="1.4"/>
  </r>
  <r>
    <s v="AXE-0579"/>
    <s v="2023-08-20"/>
    <s v="JNJ"/>
    <s v="J&amp;J"/>
    <x v="2"/>
    <x v="4"/>
    <x v="1"/>
    <n v="143.22999999999999"/>
    <n v="146.16"/>
    <n v="1495"/>
    <n v="214128.85"/>
    <n v="218509.2"/>
    <n v="4380.3500000000004"/>
    <n v="2.0499999999999998"/>
    <x v="0"/>
    <n v="0.41949999999999998"/>
    <n v="0.93"/>
  </r>
  <r>
    <s v="AXE-0580"/>
    <s v="2023-11-02"/>
    <s v="PFE"/>
    <s v="Pfizer Inc."/>
    <x v="2"/>
    <x v="1"/>
    <x v="1"/>
    <n v="50.31"/>
    <n v="67.62"/>
    <n v="3283"/>
    <n v="165167.73000000001"/>
    <n v="221996.46"/>
    <n v="56828.73"/>
    <n v="34.409999999999997"/>
    <x v="1"/>
    <n v="0.51249999999999996"/>
    <n v="1.03"/>
  </r>
  <r>
    <s v="AXE-0581"/>
    <s v="2022-01-20"/>
    <s v="NVDA"/>
    <s v="NVIDIA Corp."/>
    <x v="0"/>
    <x v="2"/>
    <x v="0"/>
    <n v="686.36"/>
    <n v="848.33"/>
    <n v="1993"/>
    <n v="1367915.48"/>
    <n v="1690721.69"/>
    <n v="322806.21000000002"/>
    <n v="23.6"/>
    <x v="1"/>
    <n v="0.42520000000000002"/>
    <n v="1.68"/>
  </r>
  <r>
    <s v="AXE-0582"/>
    <s v="2023-09-04"/>
    <s v="BLK"/>
    <s v="BlackRock"/>
    <x v="4"/>
    <x v="0"/>
    <x v="1"/>
    <n v="780.15"/>
    <n v="936.64"/>
    <n v="1729"/>
    <n v="1348879.35"/>
    <n v="1619450.56"/>
    <n v="270571.21000000002"/>
    <n v="20.059999999999999"/>
    <x v="2"/>
    <n v="0.51829999999999998"/>
    <n v="0.63"/>
  </r>
  <r>
    <s v="AXE-0583"/>
    <s v="2023-06-27"/>
    <s v="JPM"/>
    <s v="JPMorgan Chase"/>
    <x v="4"/>
    <x v="4"/>
    <x v="0"/>
    <n v="150.04"/>
    <n v="148.53"/>
    <n v="4113"/>
    <n v="617114.52"/>
    <n v="610903.89"/>
    <n v="-6210.63"/>
    <n v="-1.01"/>
    <x v="0"/>
    <n v="0.26910000000000001"/>
    <n v="1.02"/>
  </r>
  <r>
    <s v="AXE-0584"/>
    <s v="2022-08-30"/>
    <s v="XOM"/>
    <s v="Exxon Mobil"/>
    <x v="3"/>
    <x v="1"/>
    <x v="0"/>
    <n v="116.93"/>
    <n v="175.78"/>
    <n v="2210"/>
    <n v="258415.3"/>
    <n v="388473.8"/>
    <n v="130058.5"/>
    <n v="50.33"/>
    <x v="1"/>
    <n v="0.47039999999999998"/>
    <n v="0.64"/>
  </r>
  <r>
    <s v="AXE-0585"/>
    <s v="2022-10-14"/>
    <s v="BA"/>
    <s v="Boeing Co."/>
    <x v="1"/>
    <x v="0"/>
    <x v="2"/>
    <n v="235.02"/>
    <n v="216.73"/>
    <n v="2899"/>
    <n v="681322.98"/>
    <n v="628300.27"/>
    <n v="-53022.71"/>
    <n v="-7.78"/>
    <x v="0"/>
    <n v="0.1578"/>
    <n v="1.06"/>
  </r>
  <r>
    <s v="AXE-0586"/>
    <s v="2023-10-03"/>
    <s v="MS"/>
    <s v="Morgan Stanley"/>
    <x v="4"/>
    <x v="2"/>
    <x v="2"/>
    <n v="91.97"/>
    <n v="75.06"/>
    <n v="2069"/>
    <n v="190285.93"/>
    <n v="155299.14000000001"/>
    <n v="-34986.79"/>
    <n v="-18.39"/>
    <x v="2"/>
    <n v="0.25430000000000003"/>
    <n v="1.33"/>
  </r>
  <r>
    <s v="AXE-0587"/>
    <s v="2023-07-10"/>
    <s v="PFE"/>
    <s v="Pfizer Inc."/>
    <x v="2"/>
    <x v="0"/>
    <x v="1"/>
    <n v="49.17"/>
    <n v="66.81"/>
    <n v="1235"/>
    <n v="60724.95"/>
    <n v="82510.350000000006"/>
    <n v="21785.4"/>
    <n v="35.880000000000003"/>
    <x v="1"/>
    <n v="0.20699999999999999"/>
    <n v="0.77"/>
  </r>
  <r>
    <s v="AXE-0588"/>
    <s v="2022-05-19"/>
    <s v="NFLX"/>
    <s v="Netflix Inc."/>
    <x v="5"/>
    <x v="0"/>
    <x v="1"/>
    <n v="506.31"/>
    <n v="558.08000000000004"/>
    <n v="4727"/>
    <n v="2393327.37"/>
    <n v="2638044.1600000001"/>
    <n v="244716.79"/>
    <n v="10.220000000000001"/>
    <x v="2"/>
    <n v="0.35970000000000002"/>
    <n v="1.74"/>
  </r>
  <r>
    <s v="AXE-0589"/>
    <s v="2022-07-08"/>
    <s v="NVDA"/>
    <s v="NVIDIA Corp."/>
    <x v="0"/>
    <x v="0"/>
    <x v="3"/>
    <n v="647.78"/>
    <n v="969.14"/>
    <n v="341"/>
    <n v="220892.98"/>
    <n v="330476.74"/>
    <n v="109583.76"/>
    <n v="49.61"/>
    <x v="1"/>
    <n v="0.29799999999999999"/>
    <n v="1.0900000000000001"/>
  </r>
  <r>
    <s v="AXE-0590"/>
    <s v="2023-10-15"/>
    <s v="PFE"/>
    <s v="Pfizer Inc."/>
    <x v="2"/>
    <x v="0"/>
    <x v="0"/>
    <n v="42.34"/>
    <n v="42.73"/>
    <n v="1639"/>
    <n v="69395.259999999995"/>
    <n v="70034.47"/>
    <n v="639.21"/>
    <n v="0.92"/>
    <x v="0"/>
    <n v="0.44790000000000002"/>
    <n v="1.33"/>
  </r>
  <r>
    <s v="AXE-0591"/>
    <s v="2023-09-13"/>
    <s v="GS"/>
    <s v="Goldman Sachs"/>
    <x v="4"/>
    <x v="3"/>
    <x v="2"/>
    <n v="349.32"/>
    <n v="220.77"/>
    <n v="2002"/>
    <n v="699338.64"/>
    <n v="441981.54"/>
    <n v="-257357.1"/>
    <n v="-36.799999999999997"/>
    <x v="1"/>
    <n v="0.1542"/>
    <n v="1.54"/>
  </r>
  <r>
    <s v="AXE-0592"/>
    <s v="2023-05-30"/>
    <s v="META"/>
    <s v="Meta Platforms"/>
    <x v="0"/>
    <x v="4"/>
    <x v="2"/>
    <n v="386.97"/>
    <n v="327.39999999999998"/>
    <n v="1607"/>
    <n v="621860.79"/>
    <n v="526131.80000000005"/>
    <n v="-95728.99"/>
    <n v="-15.39"/>
    <x v="2"/>
    <n v="0.17910000000000001"/>
    <n v="0.83"/>
  </r>
  <r>
    <s v="AXE-0593"/>
    <s v="2023-02-23"/>
    <s v="MSFT"/>
    <s v="Microsoft Corp."/>
    <x v="0"/>
    <x v="4"/>
    <x v="1"/>
    <n v="293.37"/>
    <n v="396.03"/>
    <n v="3483"/>
    <n v="1021807.71"/>
    <n v="1379372.49"/>
    <n v="357564.78"/>
    <n v="34.99"/>
    <x v="1"/>
    <n v="0.2072"/>
    <n v="0.85"/>
  </r>
  <r>
    <s v="AXE-0594"/>
    <s v="2023-03-26"/>
    <s v="AMZN"/>
    <s v="Amazon.com"/>
    <x v="6"/>
    <x v="4"/>
    <x v="2"/>
    <n v="161.86000000000001"/>
    <n v="132.19"/>
    <n v="3848"/>
    <n v="622837.28"/>
    <n v="508667.12"/>
    <n v="-114170.16"/>
    <n v="-18.329999999999998"/>
    <x v="2"/>
    <n v="0.45379999999999998"/>
    <n v="1.33"/>
  </r>
  <r>
    <s v="AXE-0595"/>
    <s v="2022-11-17"/>
    <s v="JNJ"/>
    <s v="J&amp;J"/>
    <x v="2"/>
    <x v="3"/>
    <x v="1"/>
    <n v="169.64"/>
    <n v="211.65"/>
    <n v="4785"/>
    <n v="811727.4"/>
    <n v="1012745.25"/>
    <n v="201017.85"/>
    <n v="24.76"/>
    <x v="1"/>
    <n v="0.49659999999999999"/>
    <n v="1.54"/>
  </r>
  <r>
    <s v="AXE-0596"/>
    <s v="2022-04-22"/>
    <s v="NFLX"/>
    <s v="Netflix Inc."/>
    <x v="5"/>
    <x v="2"/>
    <x v="2"/>
    <n v="501"/>
    <n v="367.25"/>
    <n v="447"/>
    <n v="223947"/>
    <n v="164160.75"/>
    <n v="-59786.25"/>
    <n v="-26.7"/>
    <x v="1"/>
    <n v="0.3513"/>
    <n v="1.78"/>
  </r>
  <r>
    <s v="AXE-0597"/>
    <s v="2023-07-26"/>
    <s v="MSFT"/>
    <s v="Microsoft Corp."/>
    <x v="0"/>
    <x v="3"/>
    <x v="1"/>
    <n v="290.23"/>
    <n v="344.7"/>
    <n v="503"/>
    <n v="145985.69"/>
    <n v="173384.1"/>
    <n v="27398.41"/>
    <n v="18.77"/>
    <x v="2"/>
    <n v="0.50029999999999997"/>
    <n v="1.53"/>
  </r>
  <r>
    <s v="AXE-0598"/>
    <s v="2023-04-18"/>
    <s v="XOM"/>
    <s v="Exxon Mobil"/>
    <x v="3"/>
    <x v="2"/>
    <x v="1"/>
    <n v="108.56"/>
    <n v="99.68"/>
    <n v="2511"/>
    <n v="272594.15999999997"/>
    <n v="250296.48"/>
    <n v="-22297.68"/>
    <n v="-8.18"/>
    <x v="2"/>
    <n v="0.34229999999999999"/>
    <n v="0.77"/>
  </r>
  <r>
    <s v="AXE-0599"/>
    <s v="2022-04-03"/>
    <s v="PFE"/>
    <s v="Pfizer Inc."/>
    <x v="2"/>
    <x v="0"/>
    <x v="1"/>
    <n v="54.3"/>
    <n v="74.239999999999995"/>
    <n v="4895"/>
    <n v="265798.5"/>
    <n v="363404.79999999999"/>
    <n v="97606.3"/>
    <n v="36.72"/>
    <x v="1"/>
    <n v="0.1782"/>
    <n v="1.1000000000000001"/>
  </r>
  <r>
    <s v="AXE-0600"/>
    <s v="2022-01-26"/>
    <s v="PFE"/>
    <s v="Pfizer Inc."/>
    <x v="2"/>
    <x v="2"/>
    <x v="1"/>
    <n v="53.71"/>
    <n v="80.94"/>
    <n v="4935"/>
    <n v="265058.84999999998"/>
    <n v="399438.9"/>
    <n v="134380.04999999999"/>
    <n v="50.7"/>
    <x v="1"/>
    <n v="0.4995"/>
    <n v="0.71"/>
  </r>
  <r>
    <s v="AXE-0601"/>
    <s v="2023-12-10"/>
    <s v="CVX"/>
    <s v="Chevron Corp."/>
    <x v="3"/>
    <x v="1"/>
    <x v="1"/>
    <n v="141.47999999999999"/>
    <n v="169.01"/>
    <n v="847"/>
    <n v="119833.56"/>
    <n v="143151.47"/>
    <n v="23317.91"/>
    <n v="19.46"/>
    <x v="2"/>
    <n v="0.27610000000000001"/>
    <n v="1.23"/>
  </r>
  <r>
    <s v="AXE-0602"/>
    <s v="2023-06-08"/>
    <s v="JNJ"/>
    <s v="J&amp;J"/>
    <x v="2"/>
    <x v="2"/>
    <x v="1"/>
    <n v="159.09"/>
    <n v="225.55"/>
    <n v="4608"/>
    <n v="733086.71999999997"/>
    <n v="1039334.4"/>
    <n v="306247.67999999999"/>
    <n v="41.78"/>
    <x v="1"/>
    <n v="0.51229999999999998"/>
    <n v="1.28"/>
  </r>
  <r>
    <s v="AXE-0603"/>
    <s v="2022-06-16"/>
    <s v="META"/>
    <s v="Meta Platforms"/>
    <x v="0"/>
    <x v="0"/>
    <x v="1"/>
    <n v="341.56"/>
    <n v="374.58"/>
    <n v="520"/>
    <n v="177611.2"/>
    <n v="194781.6"/>
    <n v="17170.400000000001"/>
    <n v="9.67"/>
    <x v="2"/>
    <n v="0.45050000000000001"/>
    <n v="1.1399999999999999"/>
  </r>
  <r>
    <s v="AXE-0604"/>
    <s v="2022-05-01"/>
    <s v="AMZN"/>
    <s v="Amazon.com"/>
    <x v="6"/>
    <x v="0"/>
    <x v="1"/>
    <n v="150.33000000000001"/>
    <n v="158.93"/>
    <n v="128"/>
    <n v="19242.240000000002"/>
    <n v="20343.04"/>
    <n v="1100.8"/>
    <n v="5.72"/>
    <x v="0"/>
    <n v="0.31719999999999998"/>
    <n v="1.63"/>
  </r>
  <r>
    <s v="AXE-0605"/>
    <s v="2022-01-06"/>
    <s v="BA"/>
    <s v="Boeing Co."/>
    <x v="1"/>
    <x v="0"/>
    <x v="2"/>
    <n v="215.6"/>
    <n v="180.85"/>
    <n v="1876"/>
    <n v="404465.6"/>
    <n v="339274.6"/>
    <n v="-65191"/>
    <n v="-16.12"/>
    <x v="2"/>
    <n v="0.2964"/>
    <n v="0.7"/>
  </r>
  <r>
    <s v="AXE-0606"/>
    <s v="2022-01-07"/>
    <s v="MS"/>
    <s v="Morgan Stanley"/>
    <x v="4"/>
    <x v="3"/>
    <x v="2"/>
    <n v="93.23"/>
    <n v="81.709999999999994"/>
    <n v="2378"/>
    <n v="221700.94"/>
    <n v="194306.38"/>
    <n v="-27394.560000000001"/>
    <n v="-12.36"/>
    <x v="2"/>
    <n v="0.47489999999999999"/>
    <n v="0.66"/>
  </r>
  <r>
    <s v="AXE-0607"/>
    <s v="2022-02-26"/>
    <s v="META"/>
    <s v="Meta Platforms"/>
    <x v="0"/>
    <x v="1"/>
    <x v="3"/>
    <n v="387.15"/>
    <n v="521.45000000000005"/>
    <n v="1290"/>
    <n v="499423.5"/>
    <n v="672670.5"/>
    <n v="173247"/>
    <n v="34.69"/>
    <x v="1"/>
    <n v="0.4803"/>
    <n v="0.96"/>
  </r>
  <r>
    <s v="AXE-0608"/>
    <s v="2022-02-20"/>
    <s v="GOOGL"/>
    <s v="Alphabet Inc."/>
    <x v="0"/>
    <x v="2"/>
    <x v="1"/>
    <n v="125.78"/>
    <n v="135.72"/>
    <n v="1560"/>
    <n v="196216.8"/>
    <n v="211723.2"/>
    <n v="15506.4"/>
    <n v="7.9"/>
    <x v="0"/>
    <n v="0.4042"/>
    <n v="1.44"/>
  </r>
  <r>
    <s v="AXE-0609"/>
    <s v="2023-07-30"/>
    <s v="CAT"/>
    <s v="Caterpillar"/>
    <x v="1"/>
    <x v="2"/>
    <x v="1"/>
    <n v="229.93"/>
    <n v="208.11"/>
    <n v="4842"/>
    <n v="1113321.06"/>
    <n v="1007668.62"/>
    <n v="-105652.44"/>
    <n v="-9.49"/>
    <x v="2"/>
    <n v="0.45050000000000001"/>
    <n v="0.99"/>
  </r>
  <r>
    <s v="AXE-0610"/>
    <s v="2022-03-11"/>
    <s v="JNJ"/>
    <s v="J&amp;J"/>
    <x v="2"/>
    <x v="3"/>
    <x v="1"/>
    <n v="154.75"/>
    <n v="150.75"/>
    <n v="631"/>
    <n v="97647.25"/>
    <n v="95123.25"/>
    <n v="-2524"/>
    <n v="-2.58"/>
    <x v="0"/>
    <n v="0.41870000000000002"/>
    <n v="0.93"/>
  </r>
  <r>
    <s v="AXE-0611"/>
    <s v="2023-02-28"/>
    <s v="NFLX"/>
    <s v="Netflix Inc."/>
    <x v="5"/>
    <x v="0"/>
    <x v="2"/>
    <n v="397.26"/>
    <n v="379.65"/>
    <n v="576"/>
    <n v="228821.76000000001"/>
    <n v="218678.39999999999"/>
    <n v="-10143.36"/>
    <n v="-4.43"/>
    <x v="0"/>
    <n v="0.39050000000000001"/>
    <n v="1.78"/>
  </r>
  <r>
    <s v="AXE-0612"/>
    <s v="2023-12-07"/>
    <s v="BLK"/>
    <s v="BlackRock"/>
    <x v="4"/>
    <x v="2"/>
    <x v="0"/>
    <n v="723.76"/>
    <n v="928.29"/>
    <n v="2692"/>
    <n v="1948361.92"/>
    <n v="2498956.6800000002"/>
    <n v="550594.76"/>
    <n v="28.26"/>
    <x v="1"/>
    <n v="0.38800000000000001"/>
    <n v="1.71"/>
  </r>
  <r>
    <s v="AXE-0613"/>
    <s v="2023-07-31"/>
    <s v="MS"/>
    <s v="Morgan Stanley"/>
    <x v="4"/>
    <x v="3"/>
    <x v="2"/>
    <n v="89.8"/>
    <n v="63.11"/>
    <n v="4177"/>
    <n v="375094.6"/>
    <n v="263610.46999999997"/>
    <n v="-111484.13"/>
    <n v="-29.72"/>
    <x v="1"/>
    <n v="0.38200000000000001"/>
    <n v="1.45"/>
  </r>
  <r>
    <s v="AXE-0614"/>
    <s v="2022-01-02"/>
    <s v="TSLA"/>
    <s v="Tesla Inc."/>
    <x v="6"/>
    <x v="1"/>
    <x v="1"/>
    <n v="228.28"/>
    <n v="219.73"/>
    <n v="3908"/>
    <n v="892118.24"/>
    <n v="858704.84"/>
    <n v="-33413.4"/>
    <n v="-3.75"/>
    <x v="0"/>
    <n v="0.48470000000000002"/>
    <n v="1.56"/>
  </r>
  <r>
    <s v="AXE-0615"/>
    <s v="2023-02-28"/>
    <s v="LLY"/>
    <s v="Eli Lilly"/>
    <x v="2"/>
    <x v="4"/>
    <x v="1"/>
    <n v="559.97"/>
    <n v="742.66"/>
    <n v="2964"/>
    <n v="1659751.08"/>
    <n v="2201244.2400000002"/>
    <n v="541493.16"/>
    <n v="32.619999999999997"/>
    <x v="1"/>
    <n v="0.1249"/>
    <n v="0.84"/>
  </r>
  <r>
    <s v="AXE-0616"/>
    <s v="2022-09-18"/>
    <s v="XOM"/>
    <s v="Exxon Mobil"/>
    <x v="3"/>
    <x v="4"/>
    <x v="1"/>
    <n v="105.21"/>
    <n v="116.44"/>
    <n v="2559"/>
    <n v="269232.39"/>
    <n v="297969.96000000002"/>
    <n v="28737.57"/>
    <n v="10.67"/>
    <x v="2"/>
    <n v="0.1226"/>
    <n v="1.42"/>
  </r>
  <r>
    <s v="AXE-0617"/>
    <s v="2023-02-10"/>
    <s v="CVX"/>
    <s v="Chevron Corp."/>
    <x v="3"/>
    <x v="0"/>
    <x v="1"/>
    <n v="151.86000000000001"/>
    <n v="169.56"/>
    <n v="1689"/>
    <n v="256491.54"/>
    <n v="286386.84000000003"/>
    <n v="29895.3"/>
    <n v="11.66"/>
    <x v="2"/>
    <n v="0.40920000000000001"/>
    <n v="1.7"/>
  </r>
  <r>
    <s v="AXE-0618"/>
    <s v="2023-10-24"/>
    <s v="MSFT"/>
    <s v="Microsoft Corp."/>
    <x v="0"/>
    <x v="2"/>
    <x v="1"/>
    <n v="332.21"/>
    <n v="499.79"/>
    <n v="1372"/>
    <n v="455792.12"/>
    <n v="685711.88"/>
    <n v="229919.76"/>
    <n v="50.44"/>
    <x v="1"/>
    <n v="0.35089999999999999"/>
    <n v="1"/>
  </r>
  <r>
    <s v="AXE-0619"/>
    <s v="2022-02-27"/>
    <s v="LLY"/>
    <s v="Eli Lilly"/>
    <x v="2"/>
    <x v="3"/>
    <x v="0"/>
    <n v="559.1"/>
    <n v="499.33"/>
    <n v="2684"/>
    <n v="1500624.4"/>
    <n v="1340201.72"/>
    <n v="-160422.68"/>
    <n v="-10.69"/>
    <x v="2"/>
    <n v="0.36830000000000002"/>
    <n v="1"/>
  </r>
  <r>
    <s v="AXE-0620"/>
    <s v="2022-03-09"/>
    <s v="OXY"/>
    <s v="Occidental Pet."/>
    <x v="3"/>
    <x v="4"/>
    <x v="1"/>
    <n v="61.86"/>
    <n v="70.69"/>
    <n v="355"/>
    <n v="21960.3"/>
    <n v="25094.95"/>
    <n v="3134.65"/>
    <n v="14.27"/>
    <x v="2"/>
    <n v="0.34970000000000001"/>
    <n v="0.8"/>
  </r>
  <r>
    <s v="AXE-0621"/>
    <s v="2023-02-03"/>
    <s v="MS"/>
    <s v="Morgan Stanley"/>
    <x v="4"/>
    <x v="3"/>
    <x v="1"/>
    <n v="99.84"/>
    <n v="140.38"/>
    <n v="1057"/>
    <n v="105530.88"/>
    <n v="148381.66"/>
    <n v="42850.78"/>
    <n v="40.6"/>
    <x v="1"/>
    <n v="0.42330000000000001"/>
    <n v="0.98"/>
  </r>
  <r>
    <s v="AXE-0622"/>
    <s v="2022-10-06"/>
    <s v="MSFT"/>
    <s v="Microsoft Corp."/>
    <x v="0"/>
    <x v="1"/>
    <x v="1"/>
    <n v="356.2"/>
    <n v="406.11"/>
    <n v="4171"/>
    <n v="1485710.2"/>
    <n v="1693884.81"/>
    <n v="208174.61"/>
    <n v="14.01"/>
    <x v="2"/>
    <n v="0.47670000000000001"/>
    <n v="0.96"/>
  </r>
  <r>
    <s v="AXE-0623"/>
    <s v="2022-11-06"/>
    <s v="NFLX"/>
    <s v="Netflix Inc."/>
    <x v="5"/>
    <x v="1"/>
    <x v="1"/>
    <n v="488.47"/>
    <n v="695.8"/>
    <n v="3165"/>
    <n v="1546007.55"/>
    <n v="2202207"/>
    <n v="656199.44999999995"/>
    <n v="42.44"/>
    <x v="1"/>
    <n v="0.51270000000000004"/>
    <n v="1.1299999999999999"/>
  </r>
  <r>
    <s v="AXE-0624"/>
    <s v="2023-05-10"/>
    <s v="AAPL"/>
    <s v="Apple Inc."/>
    <x v="0"/>
    <x v="0"/>
    <x v="1"/>
    <n v="197.24"/>
    <n v="274.7"/>
    <n v="2886"/>
    <n v="569234.64"/>
    <n v="792784.2"/>
    <n v="223549.56"/>
    <n v="39.270000000000003"/>
    <x v="1"/>
    <n v="0.34520000000000001"/>
    <n v="1.53"/>
  </r>
  <r>
    <s v="AXE-0625"/>
    <s v="2022-04-11"/>
    <s v="META"/>
    <s v="Meta Platforms"/>
    <x v="0"/>
    <x v="0"/>
    <x v="1"/>
    <n v="345.73"/>
    <n v="476.96"/>
    <n v="399"/>
    <n v="137946.26999999999"/>
    <n v="190307.04"/>
    <n v="52360.77"/>
    <n v="37.96"/>
    <x v="1"/>
    <n v="0.34460000000000002"/>
    <n v="0.6"/>
  </r>
  <r>
    <s v="AXE-0626"/>
    <s v="2023-12-05"/>
    <s v="MSFT"/>
    <s v="Microsoft Corp."/>
    <x v="0"/>
    <x v="4"/>
    <x v="1"/>
    <n v="357.36"/>
    <n v="340.27"/>
    <n v="3924"/>
    <n v="1402280.64"/>
    <n v="1335219.48"/>
    <n v="-67061.16"/>
    <n v="-4.78"/>
    <x v="0"/>
    <n v="0.44950000000000001"/>
    <n v="1.49"/>
  </r>
  <r>
    <s v="AXE-0627"/>
    <s v="2023-08-15"/>
    <s v="AAPL"/>
    <s v="Apple Inc."/>
    <x v="0"/>
    <x v="0"/>
    <x v="0"/>
    <n v="159.28"/>
    <n v="172.12"/>
    <n v="2728"/>
    <n v="434515.84"/>
    <n v="469543.36"/>
    <n v="35027.519999999997"/>
    <n v="8.06"/>
    <x v="2"/>
    <n v="0.34889999999999999"/>
    <n v="1.53"/>
  </r>
  <r>
    <s v="AXE-0628"/>
    <s v="2022-10-07"/>
    <s v="NVDA"/>
    <s v="NVIDIA Corp."/>
    <x v="0"/>
    <x v="0"/>
    <x v="1"/>
    <n v="530.6"/>
    <n v="822.86"/>
    <n v="2341"/>
    <n v="1242134.6000000001"/>
    <n v="1926315.26"/>
    <n v="684180.66"/>
    <n v="55.08"/>
    <x v="1"/>
    <n v="0.36059999999999998"/>
    <n v="0.72"/>
  </r>
  <r>
    <s v="AXE-0629"/>
    <s v="2022-12-25"/>
    <s v="BA"/>
    <s v="Boeing Co."/>
    <x v="1"/>
    <x v="4"/>
    <x v="3"/>
    <n v="237.93"/>
    <n v="343.29"/>
    <n v="1259"/>
    <n v="299553.87"/>
    <n v="432202.11"/>
    <n v="132648.24"/>
    <n v="44.28"/>
    <x v="1"/>
    <n v="0.3669"/>
    <n v="0.81"/>
  </r>
  <r>
    <s v="AXE-0630"/>
    <s v="2023-09-20"/>
    <s v="XOM"/>
    <s v="Exxon Mobil"/>
    <x v="3"/>
    <x v="3"/>
    <x v="3"/>
    <n v="90.85"/>
    <n v="81.790000000000006"/>
    <n v="3734"/>
    <n v="339233.9"/>
    <n v="305403.86"/>
    <n v="-33830.04"/>
    <n v="-9.9700000000000006"/>
    <x v="2"/>
    <n v="0.50839999999999996"/>
    <n v="0.66"/>
  </r>
  <r>
    <s v="AXE-0631"/>
    <s v="2022-02-25"/>
    <s v="JNJ"/>
    <s v="J&amp;J"/>
    <x v="2"/>
    <x v="2"/>
    <x v="1"/>
    <n v="149.11000000000001"/>
    <n v="193.44"/>
    <n v="3310"/>
    <n v="493554.1"/>
    <n v="640286.4"/>
    <n v="146732.29999999999"/>
    <n v="29.73"/>
    <x v="1"/>
    <n v="0.37490000000000001"/>
    <n v="1.6"/>
  </r>
  <r>
    <s v="AXE-0632"/>
    <s v="2023-09-24"/>
    <s v="PFE"/>
    <s v="Pfizer Inc."/>
    <x v="2"/>
    <x v="4"/>
    <x v="3"/>
    <n v="52.57"/>
    <n v="72.5"/>
    <n v="2822"/>
    <n v="148352.54"/>
    <n v="204595"/>
    <n v="56242.46"/>
    <n v="37.909999999999997"/>
    <x v="1"/>
    <n v="0.40849999999999997"/>
    <n v="1.24"/>
  </r>
  <r>
    <s v="AXE-0633"/>
    <s v="2023-08-05"/>
    <s v="PFE"/>
    <s v="Pfizer Inc."/>
    <x v="2"/>
    <x v="1"/>
    <x v="1"/>
    <n v="42.2"/>
    <n v="46.3"/>
    <n v="3936"/>
    <n v="166099.20000000001"/>
    <n v="182236.79999999999"/>
    <n v="16137.6"/>
    <n v="9.7200000000000006"/>
    <x v="2"/>
    <n v="0.39710000000000001"/>
    <n v="1.52"/>
  </r>
  <r>
    <s v="AXE-0634"/>
    <s v="2022-08-26"/>
    <s v="BLK"/>
    <s v="BlackRock"/>
    <x v="4"/>
    <x v="0"/>
    <x v="2"/>
    <n v="876.61"/>
    <n v="701.6"/>
    <n v="2213"/>
    <n v="1939937.93"/>
    <n v="1552640.8"/>
    <n v="-387297.13"/>
    <n v="-19.96"/>
    <x v="2"/>
    <n v="0.42080000000000001"/>
    <n v="1.4"/>
  </r>
  <r>
    <s v="AXE-0635"/>
    <s v="2023-04-10"/>
    <s v="CVX"/>
    <s v="Chevron Corp."/>
    <x v="3"/>
    <x v="1"/>
    <x v="2"/>
    <n v="158.82"/>
    <n v="124.14"/>
    <n v="635"/>
    <n v="100850.7"/>
    <n v="78828.899999999994"/>
    <n v="-22021.8"/>
    <n v="-21.84"/>
    <x v="2"/>
    <n v="0.31830000000000003"/>
    <n v="0.8"/>
  </r>
  <r>
    <s v="AXE-0636"/>
    <s v="2023-09-11"/>
    <s v="OXY"/>
    <s v="Occidental Pet."/>
    <x v="3"/>
    <x v="3"/>
    <x v="1"/>
    <n v="63.16"/>
    <n v="87.16"/>
    <n v="943"/>
    <n v="59559.88"/>
    <n v="82191.88"/>
    <n v="22632"/>
    <n v="38"/>
    <x v="1"/>
    <n v="0.16600000000000001"/>
    <n v="1.27"/>
  </r>
  <r>
    <s v="AXE-0637"/>
    <s v="2022-11-06"/>
    <s v="GOOGL"/>
    <s v="Alphabet Inc."/>
    <x v="0"/>
    <x v="2"/>
    <x v="2"/>
    <n v="136.36000000000001"/>
    <n v="123.49"/>
    <n v="4937"/>
    <n v="673209.32"/>
    <n v="609670.13"/>
    <n v="-63539.19"/>
    <n v="-9.44"/>
    <x v="2"/>
    <n v="0.35560000000000003"/>
    <n v="1.77"/>
  </r>
  <r>
    <s v="AXE-0638"/>
    <s v="2022-03-09"/>
    <s v="JNJ"/>
    <s v="J&amp;J"/>
    <x v="2"/>
    <x v="0"/>
    <x v="3"/>
    <n v="161.59"/>
    <n v="253.07"/>
    <n v="4941"/>
    <n v="798416.19"/>
    <n v="1250418.8700000001"/>
    <n v="452002.68"/>
    <n v="56.61"/>
    <x v="1"/>
    <n v="0.3639"/>
    <n v="1.01"/>
  </r>
  <r>
    <s v="AXE-0639"/>
    <s v="2022-06-27"/>
    <s v="JPM"/>
    <s v="JPMorgan Chase"/>
    <x v="4"/>
    <x v="3"/>
    <x v="1"/>
    <n v="137.07"/>
    <n v="177.81"/>
    <n v="4086"/>
    <n v="560068.02"/>
    <n v="726531.66"/>
    <n v="166463.64000000001"/>
    <n v="29.72"/>
    <x v="1"/>
    <n v="0.25990000000000002"/>
    <n v="0.72"/>
  </r>
  <r>
    <s v="AXE-0640"/>
    <s v="2022-06-30"/>
    <s v="PFE"/>
    <s v="Pfizer Inc."/>
    <x v="2"/>
    <x v="2"/>
    <x v="0"/>
    <n v="49.41"/>
    <n v="67.19"/>
    <n v="670"/>
    <n v="33104.699999999997"/>
    <n v="45017.3"/>
    <n v="11912.6"/>
    <n v="35.979999999999997"/>
    <x v="1"/>
    <n v="0.3765"/>
    <n v="1.58"/>
  </r>
  <r>
    <s v="AXE-0641"/>
    <s v="2023-05-22"/>
    <s v="CVX"/>
    <s v="Chevron Corp."/>
    <x v="3"/>
    <x v="1"/>
    <x v="1"/>
    <n v="175.22"/>
    <n v="263.02"/>
    <n v="1882"/>
    <n v="329764.03999999998"/>
    <n v="495003.64"/>
    <n v="165239.6"/>
    <n v="50.11"/>
    <x v="1"/>
    <n v="0.50839999999999996"/>
    <n v="1.36"/>
  </r>
  <r>
    <s v="AXE-0642"/>
    <s v="2022-05-31"/>
    <s v="AAPL"/>
    <s v="Apple Inc."/>
    <x v="0"/>
    <x v="2"/>
    <x v="1"/>
    <n v="164.05"/>
    <n v="215.05"/>
    <n v="4452"/>
    <n v="730350.6"/>
    <n v="957402.6"/>
    <n v="227052"/>
    <n v="31.09"/>
    <x v="1"/>
    <n v="0.31230000000000002"/>
    <n v="0.85"/>
  </r>
  <r>
    <s v="AXE-0643"/>
    <s v="2022-11-03"/>
    <s v="CVX"/>
    <s v="Chevron Corp."/>
    <x v="3"/>
    <x v="2"/>
    <x v="0"/>
    <n v="183.53"/>
    <n v="236.37"/>
    <n v="2920"/>
    <n v="535907.6"/>
    <n v="690200.4"/>
    <n v="154292.79999999999"/>
    <n v="28.79"/>
    <x v="1"/>
    <n v="0.38290000000000002"/>
    <n v="1.21"/>
  </r>
  <r>
    <s v="AXE-0644"/>
    <s v="2022-10-29"/>
    <s v="META"/>
    <s v="Meta Platforms"/>
    <x v="0"/>
    <x v="4"/>
    <x v="1"/>
    <n v="399.13"/>
    <n v="351.47"/>
    <n v="4596"/>
    <n v="1834401.48"/>
    <n v="1615356.12"/>
    <n v="-219045.36"/>
    <n v="-11.94"/>
    <x v="2"/>
    <n v="0.36080000000000001"/>
    <n v="1.77"/>
  </r>
  <r>
    <s v="AXE-0645"/>
    <s v="2022-10-16"/>
    <s v="NVDA"/>
    <s v="NVIDIA Corp."/>
    <x v="0"/>
    <x v="0"/>
    <x v="1"/>
    <n v="636.4"/>
    <n v="735.67"/>
    <n v="3636"/>
    <n v="2313950.4"/>
    <n v="2674896.12"/>
    <n v="360945.72"/>
    <n v="15.6"/>
    <x v="2"/>
    <n v="0.25679999999999997"/>
    <n v="1.06"/>
  </r>
  <r>
    <s v="AXE-0646"/>
    <s v="2023-03-22"/>
    <s v="JNJ"/>
    <s v="J&amp;J"/>
    <x v="2"/>
    <x v="0"/>
    <x v="2"/>
    <n v="147.13"/>
    <n v="128.81"/>
    <n v="3990"/>
    <n v="587048.69999999995"/>
    <n v="513951.9"/>
    <n v="-73096.800000000003"/>
    <n v="-12.45"/>
    <x v="2"/>
    <n v="0.48259999999999997"/>
    <n v="1.03"/>
  </r>
  <r>
    <s v="AXE-0647"/>
    <s v="2022-06-07"/>
    <s v="LLY"/>
    <s v="Eli Lilly"/>
    <x v="2"/>
    <x v="0"/>
    <x v="0"/>
    <n v="469.41"/>
    <n v="626.13"/>
    <n v="1200"/>
    <n v="563292"/>
    <n v="751356"/>
    <n v="188064"/>
    <n v="33.39"/>
    <x v="1"/>
    <n v="0.18190000000000001"/>
    <n v="1.66"/>
  </r>
  <r>
    <s v="AXE-0648"/>
    <s v="2022-05-20"/>
    <s v="LLY"/>
    <s v="Eli Lilly"/>
    <x v="2"/>
    <x v="0"/>
    <x v="1"/>
    <n v="609.42999999999995"/>
    <n v="917.5"/>
    <n v="3506"/>
    <n v="2136661.58"/>
    <n v="3216755"/>
    <n v="1080093.42"/>
    <n v="50.55"/>
    <x v="1"/>
    <n v="0.41899999999999998"/>
    <n v="1.72"/>
  </r>
  <r>
    <s v="AXE-0649"/>
    <s v="2022-07-04"/>
    <s v="MS"/>
    <s v="Morgan Stanley"/>
    <x v="4"/>
    <x v="3"/>
    <x v="2"/>
    <n v="91.41"/>
    <n v="75.599999999999994"/>
    <n v="3574"/>
    <n v="326699.34000000003"/>
    <n v="270194.40000000002"/>
    <n v="-56504.94"/>
    <n v="-17.3"/>
    <x v="2"/>
    <n v="0.27279999999999999"/>
    <n v="0.82"/>
  </r>
  <r>
    <s v="AXE-0650"/>
    <s v="2022-01-08"/>
    <s v="MS"/>
    <s v="Morgan Stanley"/>
    <x v="4"/>
    <x v="0"/>
    <x v="2"/>
    <n v="83.77"/>
    <n v="87.64"/>
    <n v="4210"/>
    <n v="352671.7"/>
    <n v="368964.4"/>
    <n v="16292.7"/>
    <n v="4.62"/>
    <x v="0"/>
    <n v="0.36780000000000002"/>
    <n v="0.64"/>
  </r>
  <r>
    <s v="AXE-0651"/>
    <s v="2023-08-05"/>
    <s v="MSFT"/>
    <s v="Microsoft Corp."/>
    <x v="0"/>
    <x v="4"/>
    <x v="2"/>
    <n v="327.71"/>
    <n v="348.16"/>
    <n v="1027"/>
    <n v="336558.17"/>
    <n v="357560.32000000001"/>
    <n v="21002.15"/>
    <n v="6.24"/>
    <x v="0"/>
    <n v="0.15440000000000001"/>
    <n v="1.48"/>
  </r>
  <r>
    <s v="AXE-0652"/>
    <s v="2022-10-14"/>
    <s v="NFLX"/>
    <s v="Netflix Inc."/>
    <x v="5"/>
    <x v="3"/>
    <x v="2"/>
    <n v="453.15"/>
    <n v="408.12"/>
    <n v="740"/>
    <n v="335331"/>
    <n v="302008.8"/>
    <n v="-33322.199999999997"/>
    <n v="-9.94"/>
    <x v="2"/>
    <n v="0.22539999999999999"/>
    <n v="1.36"/>
  </r>
  <r>
    <s v="AXE-0653"/>
    <s v="2023-12-02"/>
    <s v="GOOGL"/>
    <s v="Alphabet Inc."/>
    <x v="0"/>
    <x v="3"/>
    <x v="0"/>
    <n v="156.94999999999999"/>
    <n v="196.9"/>
    <n v="532"/>
    <n v="83497.399999999994"/>
    <n v="104750.8"/>
    <n v="21253.4"/>
    <n v="25.45"/>
    <x v="1"/>
    <n v="0.1246"/>
    <n v="1.1399999999999999"/>
  </r>
  <r>
    <s v="AXE-0654"/>
    <s v="2023-08-11"/>
    <s v="BLK"/>
    <s v="BlackRock"/>
    <x v="4"/>
    <x v="2"/>
    <x v="3"/>
    <n v="887.78"/>
    <n v="1277.3"/>
    <n v="2991"/>
    <n v="2655349.98"/>
    <n v="3820404.3"/>
    <n v="1165054.32"/>
    <n v="43.88"/>
    <x v="1"/>
    <n v="0.24440000000000001"/>
    <n v="0.64"/>
  </r>
  <r>
    <s v="AXE-0655"/>
    <s v="2022-11-08"/>
    <s v="MS"/>
    <s v="Morgan Stanley"/>
    <x v="4"/>
    <x v="1"/>
    <x v="0"/>
    <n v="92.11"/>
    <n v="117.99"/>
    <n v="3976"/>
    <n v="366229.36"/>
    <n v="469128.24"/>
    <n v="102898.88"/>
    <n v="28.1"/>
    <x v="1"/>
    <n v="0.4022"/>
    <n v="0.95"/>
  </r>
  <r>
    <s v="AXE-0656"/>
    <s v="2022-01-28"/>
    <s v="MS"/>
    <s v="Morgan Stanley"/>
    <x v="4"/>
    <x v="2"/>
    <x v="0"/>
    <n v="79.92"/>
    <n v="74.63"/>
    <n v="775"/>
    <n v="61938"/>
    <n v="57838.25"/>
    <n v="-4099.75"/>
    <n v="-6.62"/>
    <x v="0"/>
    <n v="0.45700000000000002"/>
    <n v="0.9"/>
  </r>
  <r>
    <s v="AXE-0657"/>
    <s v="2022-10-15"/>
    <s v="MS"/>
    <s v="Morgan Stanley"/>
    <x v="4"/>
    <x v="4"/>
    <x v="0"/>
    <n v="96.52"/>
    <n v="125.73"/>
    <n v="216"/>
    <n v="20848.32"/>
    <n v="27157.68"/>
    <n v="6309.36"/>
    <n v="30.26"/>
    <x v="1"/>
    <n v="0.51139999999999997"/>
    <n v="1.49"/>
  </r>
  <r>
    <s v="AXE-0658"/>
    <s v="2023-01-14"/>
    <s v="PFE"/>
    <s v="Pfizer Inc."/>
    <x v="2"/>
    <x v="4"/>
    <x v="1"/>
    <n v="47.78"/>
    <n v="68.78"/>
    <n v="2034"/>
    <n v="97184.52"/>
    <n v="139898.51999999999"/>
    <n v="42714"/>
    <n v="43.95"/>
    <x v="1"/>
    <n v="0.49070000000000003"/>
    <n v="1.01"/>
  </r>
  <r>
    <s v="AXE-0659"/>
    <s v="2022-05-29"/>
    <s v="GOOGL"/>
    <s v="Alphabet Inc."/>
    <x v="0"/>
    <x v="2"/>
    <x v="1"/>
    <n v="151.36000000000001"/>
    <n v="158.41"/>
    <n v="3482"/>
    <n v="527035.52"/>
    <n v="551583.62"/>
    <n v="24548.1"/>
    <n v="4.66"/>
    <x v="0"/>
    <n v="0.30930000000000002"/>
    <n v="1.37"/>
  </r>
  <r>
    <s v="AXE-0660"/>
    <s v="2023-08-15"/>
    <s v="TSLA"/>
    <s v="Tesla Inc."/>
    <x v="6"/>
    <x v="1"/>
    <x v="3"/>
    <n v="236.86"/>
    <n v="227.67"/>
    <n v="2265"/>
    <n v="536487.9"/>
    <n v="515672.55"/>
    <n v="-20815.349999999999"/>
    <n v="-3.88"/>
    <x v="0"/>
    <n v="0.19209999999999999"/>
    <n v="1.08"/>
  </r>
  <r>
    <s v="AXE-0661"/>
    <s v="2023-05-03"/>
    <s v="XOM"/>
    <s v="Exxon Mobil"/>
    <x v="3"/>
    <x v="2"/>
    <x v="2"/>
    <n v="104.2"/>
    <n v="71.56"/>
    <n v="3295"/>
    <n v="343339"/>
    <n v="235790.2"/>
    <n v="-107548.8"/>
    <n v="-31.32"/>
    <x v="1"/>
    <n v="0.49419999999999997"/>
    <n v="0.61"/>
  </r>
  <r>
    <s v="AXE-0662"/>
    <s v="2023-01-27"/>
    <s v="PFE"/>
    <s v="Pfizer Inc."/>
    <x v="2"/>
    <x v="3"/>
    <x v="3"/>
    <n v="42.2"/>
    <n v="52.83"/>
    <n v="436"/>
    <n v="18399.2"/>
    <n v="23033.88"/>
    <n v="4634.68"/>
    <n v="25.19"/>
    <x v="1"/>
    <n v="0.27210000000000001"/>
    <n v="1.61"/>
  </r>
  <r>
    <s v="AXE-0663"/>
    <s v="2023-10-30"/>
    <s v="MS"/>
    <s v="Morgan Stanley"/>
    <x v="4"/>
    <x v="4"/>
    <x v="0"/>
    <n v="83.71"/>
    <n v="79.42"/>
    <n v="2314"/>
    <n v="193704.94"/>
    <n v="183777.88"/>
    <n v="-9927.06"/>
    <n v="-5.12"/>
    <x v="0"/>
    <n v="0.40139999999999998"/>
    <n v="1.07"/>
  </r>
  <r>
    <s v="AXE-0664"/>
    <s v="2023-11-20"/>
    <s v="JPM"/>
    <s v="JPMorgan Chase"/>
    <x v="4"/>
    <x v="3"/>
    <x v="2"/>
    <n v="163.26"/>
    <n v="175.81"/>
    <n v="2864"/>
    <n v="467576.64"/>
    <n v="503519.84"/>
    <n v="35943.199999999997"/>
    <n v="7.69"/>
    <x v="0"/>
    <n v="0.25469999999999998"/>
    <n v="0.61"/>
  </r>
  <r>
    <s v="AXE-0665"/>
    <s v="2022-03-11"/>
    <s v="AAPL"/>
    <s v="Apple Inc."/>
    <x v="0"/>
    <x v="2"/>
    <x v="1"/>
    <n v="176.33"/>
    <n v="239.78"/>
    <n v="900"/>
    <n v="158697"/>
    <n v="215802"/>
    <n v="57105"/>
    <n v="35.979999999999997"/>
    <x v="1"/>
    <n v="0.2712"/>
    <n v="1.47"/>
  </r>
  <r>
    <s v="AXE-0666"/>
    <s v="2022-07-17"/>
    <s v="GS"/>
    <s v="Goldman Sachs"/>
    <x v="4"/>
    <x v="1"/>
    <x v="1"/>
    <n v="329.48"/>
    <n v="426.97"/>
    <n v="853"/>
    <n v="281046.44"/>
    <n v="364205.41"/>
    <n v="83158.97"/>
    <n v="29.59"/>
    <x v="1"/>
    <n v="0.50439999999999996"/>
    <n v="0.86"/>
  </r>
  <r>
    <s v="AXE-0667"/>
    <s v="2023-10-16"/>
    <s v="MS"/>
    <s v="Morgan Stanley"/>
    <x v="4"/>
    <x v="1"/>
    <x v="1"/>
    <n v="99.62"/>
    <n v="96.72"/>
    <n v="807"/>
    <n v="80393.34"/>
    <n v="78053.039999999994"/>
    <n v="-2340.3000000000002"/>
    <n v="-2.91"/>
    <x v="0"/>
    <n v="0.4022"/>
    <n v="1.68"/>
  </r>
  <r>
    <s v="AXE-0668"/>
    <s v="2022-07-09"/>
    <s v="CAT"/>
    <s v="Caterpillar"/>
    <x v="1"/>
    <x v="0"/>
    <x v="1"/>
    <n v="225.21"/>
    <n v="302.31"/>
    <n v="2175"/>
    <n v="489831.75"/>
    <n v="657524.25"/>
    <n v="167692.5"/>
    <n v="34.229999999999997"/>
    <x v="1"/>
    <n v="0.15260000000000001"/>
    <n v="1.1399999999999999"/>
  </r>
  <r>
    <s v="AXE-0669"/>
    <s v="2023-03-14"/>
    <s v="GS"/>
    <s v="Goldman Sachs"/>
    <x v="4"/>
    <x v="4"/>
    <x v="3"/>
    <n v="412"/>
    <n v="442.53"/>
    <n v="1426"/>
    <n v="587512"/>
    <n v="631047.78"/>
    <n v="43535.78"/>
    <n v="7.41"/>
    <x v="0"/>
    <n v="0.14680000000000001"/>
    <n v="1.07"/>
  </r>
  <r>
    <s v="AXE-0670"/>
    <s v="2022-09-22"/>
    <s v="MSFT"/>
    <s v="Microsoft Corp."/>
    <x v="0"/>
    <x v="0"/>
    <x v="0"/>
    <n v="278.66000000000003"/>
    <n v="436.27"/>
    <n v="3709"/>
    <n v="1033549.94"/>
    <n v="1618125.43"/>
    <n v="584575.49"/>
    <n v="56.56"/>
    <x v="1"/>
    <n v="0.20630000000000001"/>
    <n v="1.07"/>
  </r>
  <r>
    <s v="AXE-0671"/>
    <s v="2022-04-22"/>
    <s v="BLK"/>
    <s v="BlackRock"/>
    <x v="4"/>
    <x v="3"/>
    <x v="1"/>
    <n v="714.1"/>
    <n v="949.99"/>
    <n v="3632"/>
    <n v="2593611.2000000002"/>
    <n v="3450363.68"/>
    <n v="856752.48"/>
    <n v="33.03"/>
    <x v="1"/>
    <n v="0.51239999999999997"/>
    <n v="1.46"/>
  </r>
  <r>
    <s v="AXE-0672"/>
    <s v="2022-02-05"/>
    <s v="NVDA"/>
    <s v="NVIDIA Corp."/>
    <x v="0"/>
    <x v="1"/>
    <x v="1"/>
    <n v="640.96"/>
    <n v="912.77"/>
    <n v="4780"/>
    <n v="3063788.8"/>
    <n v="4363040.5999999996"/>
    <n v="1299251.8"/>
    <n v="42.41"/>
    <x v="1"/>
    <n v="0.12809999999999999"/>
    <n v="1.2"/>
  </r>
  <r>
    <s v="AXE-0673"/>
    <s v="2022-02-08"/>
    <s v="AAPL"/>
    <s v="Apple Inc."/>
    <x v="0"/>
    <x v="4"/>
    <x v="1"/>
    <n v="185.5"/>
    <n v="280.7"/>
    <n v="1341"/>
    <n v="248755.5"/>
    <n v="376418.7"/>
    <n v="127663.2"/>
    <n v="51.32"/>
    <x v="1"/>
    <n v="0.36709999999999998"/>
    <n v="1.22"/>
  </r>
  <r>
    <s v="AXE-0674"/>
    <s v="2023-05-05"/>
    <s v="BLK"/>
    <s v="BlackRock"/>
    <x v="4"/>
    <x v="2"/>
    <x v="1"/>
    <n v="789.39"/>
    <n v="696.49"/>
    <n v="674"/>
    <n v="532048.86"/>
    <n v="469434.26"/>
    <n v="-62614.6"/>
    <n v="-11.77"/>
    <x v="2"/>
    <n v="0.53029999999999999"/>
    <n v="1.58"/>
  </r>
  <r>
    <s v="AXE-0675"/>
    <s v="2022-05-05"/>
    <s v="BLK"/>
    <s v="BlackRock"/>
    <x v="4"/>
    <x v="4"/>
    <x v="3"/>
    <n v="756.74"/>
    <n v="1000.86"/>
    <n v="2580"/>
    <n v="1952389.2"/>
    <n v="2582218.7999999998"/>
    <n v="629829.6"/>
    <n v="32.26"/>
    <x v="1"/>
    <n v="0.5323"/>
    <n v="0.71"/>
  </r>
  <r>
    <s v="AXE-0676"/>
    <s v="2022-12-15"/>
    <s v="BA"/>
    <s v="Boeing Co."/>
    <x v="1"/>
    <x v="2"/>
    <x v="1"/>
    <n v="219.31"/>
    <n v="220.11"/>
    <n v="2475"/>
    <n v="542792.25"/>
    <n v="544772.25"/>
    <n v="1980"/>
    <n v="0.36"/>
    <x v="0"/>
    <n v="0.13689999999999999"/>
    <n v="1.06"/>
  </r>
  <r>
    <s v="AXE-0677"/>
    <s v="2022-11-03"/>
    <s v="TSLA"/>
    <s v="Tesla Inc."/>
    <x v="6"/>
    <x v="1"/>
    <x v="1"/>
    <n v="219.11"/>
    <n v="328.59"/>
    <n v="3043"/>
    <n v="666751.73"/>
    <n v="999899.37"/>
    <n v="333147.64"/>
    <n v="49.97"/>
    <x v="1"/>
    <n v="0.30830000000000002"/>
    <n v="0.83"/>
  </r>
  <r>
    <s v="AXE-0678"/>
    <s v="2022-07-17"/>
    <s v="MSFT"/>
    <s v="Microsoft Corp."/>
    <x v="0"/>
    <x v="3"/>
    <x v="1"/>
    <n v="318.97000000000003"/>
    <n v="294.76"/>
    <n v="2053"/>
    <n v="654845.41"/>
    <n v="605142.28"/>
    <n v="-49703.13"/>
    <n v="-7.59"/>
    <x v="0"/>
    <n v="0.35239999999999999"/>
    <n v="0.97"/>
  </r>
  <r>
    <s v="AXE-0679"/>
    <s v="2023-04-06"/>
    <s v="BA"/>
    <s v="Boeing Co."/>
    <x v="1"/>
    <x v="1"/>
    <x v="1"/>
    <n v="182.03"/>
    <n v="260.57"/>
    <n v="2879"/>
    <n v="524064.37"/>
    <n v="750181.03"/>
    <n v="226116.66"/>
    <n v="43.15"/>
    <x v="1"/>
    <n v="0.1384"/>
    <n v="0.74"/>
  </r>
  <r>
    <s v="AXE-0680"/>
    <s v="2023-04-15"/>
    <s v="NFLX"/>
    <s v="Netflix Inc."/>
    <x v="5"/>
    <x v="3"/>
    <x v="1"/>
    <n v="507.35"/>
    <n v="459.56"/>
    <n v="2008"/>
    <n v="1018758.8"/>
    <n v="922796.48"/>
    <n v="-95962.32"/>
    <n v="-9.42"/>
    <x v="2"/>
    <n v="0.18090000000000001"/>
    <n v="1.38"/>
  </r>
  <r>
    <s v="AXE-0681"/>
    <s v="2023-09-26"/>
    <s v="BLK"/>
    <s v="BlackRock"/>
    <x v="4"/>
    <x v="0"/>
    <x v="1"/>
    <n v="666.36"/>
    <n v="881.5"/>
    <n v="1169"/>
    <n v="778974.84"/>
    <n v="1030473.5"/>
    <n v="251498.66"/>
    <n v="32.29"/>
    <x v="1"/>
    <n v="0.50900000000000001"/>
    <n v="1.58"/>
  </r>
  <r>
    <s v="AXE-0682"/>
    <s v="2023-04-13"/>
    <s v="NVDA"/>
    <s v="NVIDIA Corp."/>
    <x v="0"/>
    <x v="3"/>
    <x v="1"/>
    <n v="657.2"/>
    <n v="627.25"/>
    <n v="623"/>
    <n v="409435.6"/>
    <n v="390776.75"/>
    <n v="-18658.849999999999"/>
    <n v="-4.5599999999999996"/>
    <x v="0"/>
    <n v="0.33379999999999999"/>
    <n v="1.56"/>
  </r>
  <r>
    <s v="AXE-0683"/>
    <s v="2022-03-06"/>
    <s v="JPM"/>
    <s v="JPMorgan Chase"/>
    <x v="4"/>
    <x v="2"/>
    <x v="2"/>
    <n v="169.49"/>
    <n v="181.66"/>
    <n v="2863"/>
    <n v="485249.87"/>
    <n v="520092.58"/>
    <n v="34842.71"/>
    <n v="7.18"/>
    <x v="0"/>
    <n v="0.41170000000000001"/>
    <n v="0.99"/>
  </r>
  <r>
    <s v="AXE-0684"/>
    <s v="2023-07-13"/>
    <s v="CAT"/>
    <s v="Caterpillar"/>
    <x v="1"/>
    <x v="4"/>
    <x v="1"/>
    <n v="259.02"/>
    <n v="335.47"/>
    <n v="1846"/>
    <n v="478150.92"/>
    <n v="619277.62"/>
    <n v="141126.70000000001"/>
    <n v="29.52"/>
    <x v="1"/>
    <n v="0.26429999999999998"/>
    <n v="0.74"/>
  </r>
  <r>
    <s v="AXE-0685"/>
    <s v="2023-03-02"/>
    <s v="META"/>
    <s v="Meta Platforms"/>
    <x v="0"/>
    <x v="4"/>
    <x v="1"/>
    <n v="314.83"/>
    <n v="330.75"/>
    <n v="4633"/>
    <n v="1458607.39"/>
    <n v="1532364.75"/>
    <n v="73757.36"/>
    <n v="5.0599999999999996"/>
    <x v="0"/>
    <n v="0.37030000000000002"/>
    <n v="0.76"/>
  </r>
  <r>
    <s v="AXE-0686"/>
    <s v="2023-01-21"/>
    <s v="MS"/>
    <s v="Morgan Stanley"/>
    <x v="4"/>
    <x v="1"/>
    <x v="1"/>
    <n v="78.680000000000007"/>
    <n v="69.64"/>
    <n v="4089"/>
    <n v="321722.52"/>
    <n v="284757.96000000002"/>
    <n v="-36964.559999999998"/>
    <n v="-11.49"/>
    <x v="2"/>
    <n v="0.51819999999999999"/>
    <n v="1.45"/>
  </r>
  <r>
    <s v="AXE-0687"/>
    <s v="2022-10-18"/>
    <s v="CAT"/>
    <s v="Caterpillar"/>
    <x v="1"/>
    <x v="2"/>
    <x v="1"/>
    <n v="218.84"/>
    <n v="290.58999999999997"/>
    <n v="1139"/>
    <n v="249258.76"/>
    <n v="330982.01"/>
    <n v="81723.25"/>
    <n v="32.79"/>
    <x v="1"/>
    <n v="0.34489999999999998"/>
    <n v="1.0900000000000001"/>
  </r>
  <r>
    <s v="AXE-0688"/>
    <s v="2023-09-18"/>
    <s v="AMZN"/>
    <s v="Amazon.com"/>
    <x v="6"/>
    <x v="3"/>
    <x v="1"/>
    <n v="154.44999999999999"/>
    <n v="202.09"/>
    <n v="1574"/>
    <n v="243104.3"/>
    <n v="318089.65999999997"/>
    <n v="74985.36"/>
    <n v="30.84"/>
    <x v="1"/>
    <n v="0.1578"/>
    <n v="1.59"/>
  </r>
  <r>
    <s v="AXE-0689"/>
    <s v="2022-12-23"/>
    <s v="XOM"/>
    <s v="Exxon Mobil"/>
    <x v="3"/>
    <x v="1"/>
    <x v="1"/>
    <n v="96.67"/>
    <n v="93.02"/>
    <n v="4668"/>
    <n v="451255.56"/>
    <n v="434217.36"/>
    <n v="-17038.2"/>
    <n v="-3.78"/>
    <x v="0"/>
    <n v="0.34799999999999998"/>
    <n v="0.71"/>
  </r>
  <r>
    <s v="AXE-0690"/>
    <s v="2023-07-07"/>
    <s v="OXY"/>
    <s v="Occidental Pet."/>
    <x v="3"/>
    <x v="2"/>
    <x v="2"/>
    <n v="60.64"/>
    <n v="43"/>
    <n v="1804"/>
    <n v="109394.56"/>
    <n v="77572"/>
    <n v="-31822.560000000001"/>
    <n v="-29.09"/>
    <x v="1"/>
    <n v="0.46250000000000002"/>
    <n v="1.42"/>
  </r>
  <r>
    <s v="AXE-0691"/>
    <s v="2023-05-25"/>
    <s v="BLK"/>
    <s v="BlackRock"/>
    <x v="4"/>
    <x v="0"/>
    <x v="1"/>
    <n v="675.64"/>
    <n v="766.81"/>
    <n v="453"/>
    <n v="306064.92"/>
    <n v="347364.93"/>
    <n v="41300.01"/>
    <n v="13.49"/>
    <x v="2"/>
    <n v="0.21010000000000001"/>
    <n v="0.9"/>
  </r>
  <r>
    <s v="AXE-0692"/>
    <s v="2023-04-10"/>
    <s v="MS"/>
    <s v="Morgan Stanley"/>
    <x v="4"/>
    <x v="1"/>
    <x v="1"/>
    <n v="101.47"/>
    <n v="101.79"/>
    <n v="529"/>
    <n v="53677.63"/>
    <n v="53846.91"/>
    <n v="169.28"/>
    <n v="0.32"/>
    <x v="0"/>
    <n v="0.45779999999999998"/>
    <n v="1.18"/>
  </r>
  <r>
    <s v="AXE-0693"/>
    <s v="2022-03-14"/>
    <s v="NVDA"/>
    <s v="NVIDIA Corp."/>
    <x v="0"/>
    <x v="2"/>
    <x v="2"/>
    <n v="614.36"/>
    <n v="499.33"/>
    <n v="4955"/>
    <n v="3044153.8"/>
    <n v="2474180.15"/>
    <n v="-569973.65"/>
    <n v="-18.72"/>
    <x v="2"/>
    <n v="0.44119999999999998"/>
    <n v="1.68"/>
  </r>
  <r>
    <s v="AXE-0694"/>
    <s v="2022-04-23"/>
    <s v="JPM"/>
    <s v="JPMorgan Chase"/>
    <x v="4"/>
    <x v="0"/>
    <x v="3"/>
    <n v="142.78"/>
    <n v="166.88"/>
    <n v="903"/>
    <n v="128930.34"/>
    <n v="150692.64000000001"/>
    <n v="21762.3"/>
    <n v="16.88"/>
    <x v="2"/>
    <n v="0.20599999999999999"/>
    <n v="1.67"/>
  </r>
  <r>
    <s v="AXE-0695"/>
    <s v="2023-04-28"/>
    <s v="GOOGL"/>
    <s v="Alphabet Inc."/>
    <x v="0"/>
    <x v="1"/>
    <x v="2"/>
    <n v="125.09"/>
    <n v="130.94999999999999"/>
    <n v="3670"/>
    <n v="459080.3"/>
    <n v="480586.5"/>
    <n v="21506.2"/>
    <n v="4.68"/>
    <x v="0"/>
    <n v="0.31559999999999999"/>
    <n v="1.06"/>
  </r>
  <r>
    <s v="AXE-0696"/>
    <s v="2023-04-14"/>
    <s v="META"/>
    <s v="Meta Platforms"/>
    <x v="0"/>
    <x v="4"/>
    <x v="2"/>
    <n v="318.73"/>
    <n v="216.26"/>
    <n v="2309"/>
    <n v="735947.57"/>
    <n v="499344.34"/>
    <n v="-236603.23"/>
    <n v="-32.15"/>
    <x v="1"/>
    <n v="0.41770000000000002"/>
    <n v="0.67"/>
  </r>
  <r>
    <s v="AXE-0697"/>
    <s v="2022-04-24"/>
    <s v="META"/>
    <s v="Meta Platforms"/>
    <x v="0"/>
    <x v="2"/>
    <x v="2"/>
    <n v="315.48"/>
    <n v="245.46"/>
    <n v="3526"/>
    <n v="1112382.48"/>
    <n v="865491.96"/>
    <n v="-246890.52"/>
    <n v="-22.19"/>
    <x v="1"/>
    <n v="0.50119999999999998"/>
    <n v="1.32"/>
  </r>
  <r>
    <s v="AXE-0698"/>
    <s v="2022-06-24"/>
    <s v="MS"/>
    <s v="Morgan Stanley"/>
    <x v="4"/>
    <x v="1"/>
    <x v="2"/>
    <n v="99.64"/>
    <n v="84.2"/>
    <n v="3472"/>
    <n v="345950.08"/>
    <n v="292342.40000000002"/>
    <n v="-53607.68"/>
    <n v="-15.5"/>
    <x v="2"/>
    <n v="0.54810000000000003"/>
    <n v="1.31"/>
  </r>
  <r>
    <s v="AXE-0699"/>
    <s v="2022-10-13"/>
    <s v="PFE"/>
    <s v="Pfizer Inc."/>
    <x v="2"/>
    <x v="2"/>
    <x v="1"/>
    <n v="44.37"/>
    <n v="52.53"/>
    <n v="2120"/>
    <n v="94064.4"/>
    <n v="111363.6"/>
    <n v="17299.2"/>
    <n v="18.39"/>
    <x v="2"/>
    <n v="0.21560000000000001"/>
    <n v="1.71"/>
  </r>
  <r>
    <s v="AXE-0700"/>
    <s v="2023-08-11"/>
    <s v="META"/>
    <s v="Meta Platforms"/>
    <x v="0"/>
    <x v="2"/>
    <x v="1"/>
    <n v="301.70999999999998"/>
    <n v="364.91"/>
    <n v="462"/>
    <n v="139390.01999999999"/>
    <n v="168588.42"/>
    <n v="29198.400000000001"/>
    <n v="20.95"/>
    <x v="2"/>
    <n v="0.45050000000000001"/>
    <n v="0.64"/>
  </r>
  <r>
    <s v="AXE-0701"/>
    <s v="2023-02-08"/>
    <s v="NFLX"/>
    <s v="Netflix Inc."/>
    <x v="5"/>
    <x v="1"/>
    <x v="2"/>
    <n v="449.36"/>
    <n v="295.77999999999997"/>
    <n v="3806"/>
    <n v="1710264.16"/>
    <n v="1125738.68"/>
    <n v="-584525.48"/>
    <n v="-34.18"/>
    <x v="1"/>
    <n v="0.44379999999999997"/>
    <n v="1.43"/>
  </r>
  <r>
    <s v="AXE-0702"/>
    <s v="2022-08-12"/>
    <s v="LLY"/>
    <s v="Eli Lilly"/>
    <x v="2"/>
    <x v="4"/>
    <x v="1"/>
    <n v="506.95"/>
    <n v="800.61"/>
    <n v="2523"/>
    <n v="1279034.8500000001"/>
    <n v="2019939.03"/>
    <n v="740904.18"/>
    <n v="57.93"/>
    <x v="1"/>
    <n v="0.1268"/>
    <n v="1.4"/>
  </r>
  <r>
    <s v="AXE-0703"/>
    <s v="2023-12-22"/>
    <s v="AMZN"/>
    <s v="Amazon.com"/>
    <x v="6"/>
    <x v="3"/>
    <x v="2"/>
    <n v="124.31"/>
    <n v="103.08"/>
    <n v="4881"/>
    <n v="606757.11"/>
    <n v="503133.48"/>
    <n v="-103623.63"/>
    <n v="-17.079999999999998"/>
    <x v="2"/>
    <n v="0.45190000000000002"/>
    <n v="1.65"/>
  </r>
  <r>
    <s v="AXE-0704"/>
    <s v="2022-07-09"/>
    <s v="JNJ"/>
    <s v="J&amp;J"/>
    <x v="2"/>
    <x v="2"/>
    <x v="3"/>
    <n v="182.84"/>
    <n v="169.95"/>
    <n v="111"/>
    <n v="20295.240000000002"/>
    <n v="18864.45"/>
    <n v="-1430.79"/>
    <n v="-7.05"/>
    <x v="0"/>
    <n v="0.50419999999999998"/>
    <n v="1"/>
  </r>
  <r>
    <s v="AXE-0705"/>
    <s v="2022-10-31"/>
    <s v="MSFT"/>
    <s v="Microsoft Corp."/>
    <x v="0"/>
    <x v="4"/>
    <x v="1"/>
    <n v="327.22000000000003"/>
    <n v="335.4"/>
    <n v="4543"/>
    <n v="1486560.46"/>
    <n v="1523722.2"/>
    <n v="37161.74"/>
    <n v="2.5"/>
    <x v="0"/>
    <n v="0.41439999999999999"/>
    <n v="1.34"/>
  </r>
  <r>
    <s v="AXE-0706"/>
    <s v="2022-02-26"/>
    <s v="CVX"/>
    <s v="Chevron Corp."/>
    <x v="3"/>
    <x v="1"/>
    <x v="3"/>
    <n v="154.38"/>
    <n v="186.14"/>
    <n v="1009"/>
    <n v="155769.42000000001"/>
    <n v="187815.26"/>
    <n v="32045.84"/>
    <n v="20.57"/>
    <x v="2"/>
    <n v="0.1376"/>
    <n v="1.04"/>
  </r>
  <r>
    <s v="AXE-0707"/>
    <s v="2023-12-23"/>
    <s v="BA"/>
    <s v="Boeing Co."/>
    <x v="1"/>
    <x v="3"/>
    <x v="1"/>
    <n v="187.22"/>
    <n v="208.65"/>
    <n v="1777"/>
    <n v="332689.94"/>
    <n v="370771.05"/>
    <n v="38081.11"/>
    <n v="11.45"/>
    <x v="2"/>
    <n v="0.35199999999999998"/>
    <n v="1.38"/>
  </r>
  <r>
    <s v="AXE-0708"/>
    <s v="2023-12-21"/>
    <s v="CAT"/>
    <s v="Caterpillar"/>
    <x v="1"/>
    <x v="0"/>
    <x v="2"/>
    <n v="229.4"/>
    <n v="170.44"/>
    <n v="2725"/>
    <n v="625115"/>
    <n v="464449"/>
    <n v="-160666"/>
    <n v="-25.7"/>
    <x v="1"/>
    <n v="0.41249999999999998"/>
    <n v="0.93"/>
  </r>
  <r>
    <s v="AXE-0709"/>
    <s v="2023-01-17"/>
    <s v="GOOGL"/>
    <s v="Alphabet Inc."/>
    <x v="0"/>
    <x v="2"/>
    <x v="3"/>
    <n v="140.06"/>
    <n v="204.58"/>
    <n v="4083"/>
    <n v="571864.98"/>
    <n v="835300.14"/>
    <n v="263435.15999999997"/>
    <n v="46.07"/>
    <x v="1"/>
    <n v="0.32219999999999999"/>
    <n v="1.24"/>
  </r>
  <r>
    <s v="AXE-0710"/>
    <s v="2022-10-27"/>
    <s v="BA"/>
    <s v="Boeing Co."/>
    <x v="1"/>
    <x v="3"/>
    <x v="2"/>
    <n v="228.89"/>
    <n v="241.45"/>
    <n v="3115"/>
    <n v="712992.35"/>
    <n v="752116.75"/>
    <n v="39124.400000000001"/>
    <n v="5.49"/>
    <x v="0"/>
    <n v="0.46779999999999999"/>
    <n v="1.73"/>
  </r>
  <r>
    <s v="AXE-0711"/>
    <s v="2022-07-12"/>
    <s v="GOOGL"/>
    <s v="Alphabet Inc."/>
    <x v="0"/>
    <x v="1"/>
    <x v="2"/>
    <n v="135.41"/>
    <n v="95.09"/>
    <n v="756"/>
    <n v="102369.96"/>
    <n v="71888.039999999994"/>
    <n v="-30481.919999999998"/>
    <n v="-29.78"/>
    <x v="1"/>
    <n v="0.53210000000000002"/>
    <n v="0.69"/>
  </r>
  <r>
    <s v="AXE-0712"/>
    <s v="2022-10-10"/>
    <s v="AMZN"/>
    <s v="Amazon.com"/>
    <x v="6"/>
    <x v="0"/>
    <x v="1"/>
    <n v="129.80000000000001"/>
    <n v="132.78"/>
    <n v="4165"/>
    <n v="540617"/>
    <n v="553028.69999999995"/>
    <n v="12411.7"/>
    <n v="2.2999999999999998"/>
    <x v="0"/>
    <n v="0.52939999999999998"/>
    <n v="0.63"/>
  </r>
  <r>
    <s v="AXE-0713"/>
    <s v="2023-11-30"/>
    <s v="LLY"/>
    <s v="Eli Lilly"/>
    <x v="2"/>
    <x v="2"/>
    <x v="1"/>
    <n v="536.82000000000005"/>
    <n v="749.61"/>
    <n v="2940"/>
    <n v="1578250.8"/>
    <n v="2203853.4"/>
    <n v="625602.6"/>
    <n v="39.64"/>
    <x v="1"/>
    <n v="0.12920000000000001"/>
    <n v="0.83"/>
  </r>
  <r>
    <s v="AXE-0714"/>
    <s v="2022-08-26"/>
    <s v="AAPL"/>
    <s v="Apple Inc."/>
    <x v="0"/>
    <x v="2"/>
    <x v="3"/>
    <n v="166.75"/>
    <n v="222.15"/>
    <n v="4840"/>
    <n v="807070"/>
    <n v="1075206"/>
    <n v="268136"/>
    <n v="33.22"/>
    <x v="1"/>
    <n v="0.26029999999999998"/>
    <n v="1.31"/>
  </r>
  <r>
    <s v="AXE-0715"/>
    <s v="2023-07-16"/>
    <s v="NFLX"/>
    <s v="Netflix Inc."/>
    <x v="5"/>
    <x v="2"/>
    <x v="2"/>
    <n v="459.08"/>
    <n v="474.33"/>
    <n v="2591"/>
    <n v="1189476.28"/>
    <n v="1228989.03"/>
    <n v="39512.75"/>
    <n v="3.32"/>
    <x v="0"/>
    <n v="0.25180000000000002"/>
    <n v="1.55"/>
  </r>
  <r>
    <s v="AXE-0716"/>
    <s v="2023-05-11"/>
    <s v="JPM"/>
    <s v="JPMorgan Chase"/>
    <x v="4"/>
    <x v="4"/>
    <x v="3"/>
    <n v="138.65"/>
    <n v="149.61000000000001"/>
    <n v="487"/>
    <n v="67522.55"/>
    <n v="72860.070000000007"/>
    <n v="5337.52"/>
    <n v="7.9"/>
    <x v="0"/>
    <n v="0.53120000000000001"/>
    <n v="1.34"/>
  </r>
  <r>
    <s v="AXE-0717"/>
    <s v="2023-12-30"/>
    <s v="AMZN"/>
    <s v="Amazon.com"/>
    <x v="6"/>
    <x v="0"/>
    <x v="0"/>
    <n v="159.76"/>
    <n v="218.07"/>
    <n v="1536"/>
    <n v="245391.35999999999"/>
    <n v="334955.52000000002"/>
    <n v="89564.160000000003"/>
    <n v="36.5"/>
    <x v="1"/>
    <n v="0.40649999999999997"/>
    <n v="0.78"/>
  </r>
  <r>
    <s v="AXE-0718"/>
    <s v="2022-04-30"/>
    <s v="JPM"/>
    <s v="JPMorgan Chase"/>
    <x v="4"/>
    <x v="4"/>
    <x v="1"/>
    <n v="137.63"/>
    <n v="146.19999999999999"/>
    <n v="4806"/>
    <n v="661449.78"/>
    <n v="702637.2"/>
    <n v="41187.42"/>
    <n v="6.23"/>
    <x v="0"/>
    <n v="0.1993"/>
    <n v="1.27"/>
  </r>
  <r>
    <s v="AXE-0719"/>
    <s v="2023-11-13"/>
    <s v="MSFT"/>
    <s v="Microsoft Corp."/>
    <x v="0"/>
    <x v="4"/>
    <x v="3"/>
    <n v="307.8"/>
    <n v="387.18"/>
    <n v="1311"/>
    <n v="403525.8"/>
    <n v="507592.98"/>
    <n v="104067.18"/>
    <n v="25.79"/>
    <x v="1"/>
    <n v="0.18990000000000001"/>
    <n v="0.96"/>
  </r>
  <r>
    <s v="AXE-0720"/>
    <s v="2023-02-19"/>
    <s v="AAPL"/>
    <s v="Apple Inc."/>
    <x v="0"/>
    <x v="0"/>
    <x v="2"/>
    <n v="197.46"/>
    <n v="136.6"/>
    <n v="3852"/>
    <n v="760615.92"/>
    <n v="526183.19999999995"/>
    <n v="-234432.72"/>
    <n v="-30.82"/>
    <x v="1"/>
    <n v="0.53720000000000001"/>
    <n v="1.26"/>
  </r>
  <r>
    <s v="AXE-0721"/>
    <s v="2022-12-06"/>
    <s v="NFLX"/>
    <s v="Netflix Inc."/>
    <x v="5"/>
    <x v="2"/>
    <x v="0"/>
    <n v="513.4"/>
    <n v="722.82"/>
    <n v="2474"/>
    <n v="1270151.6000000001"/>
    <n v="1788256.68"/>
    <n v="518105.08"/>
    <n v="40.79"/>
    <x v="1"/>
    <n v="0.5474"/>
    <n v="1.4"/>
  </r>
  <r>
    <s v="AXE-0722"/>
    <s v="2023-03-29"/>
    <s v="CAT"/>
    <s v="Caterpillar"/>
    <x v="1"/>
    <x v="1"/>
    <x v="3"/>
    <n v="268.81"/>
    <n v="262.79000000000002"/>
    <n v="4023"/>
    <n v="1081422.6299999999"/>
    <n v="1057204.17"/>
    <n v="-24218.46"/>
    <n v="-2.2400000000000002"/>
    <x v="0"/>
    <n v="0.3569"/>
    <n v="0.97"/>
  </r>
  <r>
    <s v="AXE-0723"/>
    <s v="2023-09-25"/>
    <s v="JNJ"/>
    <s v="J&amp;J"/>
    <x v="2"/>
    <x v="2"/>
    <x v="2"/>
    <n v="144.83000000000001"/>
    <n v="93.46"/>
    <n v="3027"/>
    <n v="438400.41"/>
    <n v="282903.42"/>
    <n v="-155496.99"/>
    <n v="-35.47"/>
    <x v="1"/>
    <n v="0.39579999999999999"/>
    <n v="1.3"/>
  </r>
  <r>
    <s v="AXE-0724"/>
    <s v="2022-10-12"/>
    <s v="JPM"/>
    <s v="JPMorgan Chase"/>
    <x v="4"/>
    <x v="1"/>
    <x v="2"/>
    <n v="156.79"/>
    <n v="129.34"/>
    <n v="784"/>
    <n v="122923.36"/>
    <n v="101402.56"/>
    <n v="-21520.799999999999"/>
    <n v="-17.510000000000002"/>
    <x v="2"/>
    <n v="0.4088"/>
    <n v="0.7"/>
  </r>
  <r>
    <s v="AXE-0725"/>
    <s v="2023-02-08"/>
    <s v="NFLX"/>
    <s v="Netflix Inc."/>
    <x v="5"/>
    <x v="2"/>
    <x v="2"/>
    <n v="463.93"/>
    <n v="396.81"/>
    <n v="2703"/>
    <n v="1254002.79"/>
    <n v="1072577.43"/>
    <n v="-181425.36"/>
    <n v="-14.47"/>
    <x v="2"/>
    <n v="0.14410000000000001"/>
    <n v="1.4"/>
  </r>
  <r>
    <s v="AXE-0726"/>
    <s v="2022-06-01"/>
    <s v="JNJ"/>
    <s v="J&amp;J"/>
    <x v="2"/>
    <x v="4"/>
    <x v="1"/>
    <n v="158.71"/>
    <n v="171.29"/>
    <n v="3263"/>
    <n v="517870.73"/>
    <n v="558919.27"/>
    <n v="41048.54"/>
    <n v="7.93"/>
    <x v="0"/>
    <n v="0.27110000000000001"/>
    <n v="1.77"/>
  </r>
  <r>
    <s v="AXE-0727"/>
    <s v="2022-03-31"/>
    <s v="BA"/>
    <s v="Boeing Co."/>
    <x v="1"/>
    <x v="2"/>
    <x v="2"/>
    <n v="229.13"/>
    <n v="172.48"/>
    <n v="3504"/>
    <n v="802871.52"/>
    <n v="604369.92000000004"/>
    <n v="-198501.6"/>
    <n v="-24.72"/>
    <x v="1"/>
    <n v="0.46639999999999998"/>
    <n v="1.76"/>
  </r>
  <r>
    <s v="AXE-0728"/>
    <s v="2023-03-01"/>
    <s v="LLY"/>
    <s v="Eli Lilly"/>
    <x v="2"/>
    <x v="3"/>
    <x v="1"/>
    <n v="481.7"/>
    <n v="493.96"/>
    <n v="4998"/>
    <n v="2407536.6"/>
    <n v="2468812.08"/>
    <n v="61275.48"/>
    <n v="2.5499999999999998"/>
    <x v="0"/>
    <n v="0.3241"/>
    <n v="1.64"/>
  </r>
  <r>
    <s v="AXE-0729"/>
    <s v="2022-03-09"/>
    <s v="CVX"/>
    <s v="Chevron Corp."/>
    <x v="3"/>
    <x v="1"/>
    <x v="1"/>
    <n v="155.65"/>
    <n v="236.6"/>
    <n v="154"/>
    <n v="23970.1"/>
    <n v="36436.400000000001"/>
    <n v="12466.3"/>
    <n v="52.01"/>
    <x v="1"/>
    <n v="0.29820000000000002"/>
    <n v="1.27"/>
  </r>
  <r>
    <s v="AXE-0730"/>
    <s v="2022-05-21"/>
    <s v="CAT"/>
    <s v="Caterpillar"/>
    <x v="1"/>
    <x v="0"/>
    <x v="2"/>
    <n v="224.84"/>
    <n v="190.14"/>
    <n v="3227"/>
    <n v="725558.68"/>
    <n v="613581.78"/>
    <n v="-111976.9"/>
    <n v="-15.43"/>
    <x v="2"/>
    <n v="0.4738"/>
    <n v="0.96"/>
  </r>
  <r>
    <s v="AXE-0731"/>
    <s v="2022-11-08"/>
    <s v="CAT"/>
    <s v="Caterpillar"/>
    <x v="1"/>
    <x v="3"/>
    <x v="2"/>
    <n v="220.17"/>
    <n v="216.64"/>
    <n v="3896"/>
    <n v="857782.32"/>
    <n v="844029.43999999994"/>
    <n v="-13752.88"/>
    <n v="-1.6"/>
    <x v="0"/>
    <n v="0.1862"/>
    <n v="0.96"/>
  </r>
  <r>
    <s v="AXE-0732"/>
    <s v="2022-05-08"/>
    <s v="BLK"/>
    <s v="BlackRock"/>
    <x v="4"/>
    <x v="2"/>
    <x v="0"/>
    <n v="778.1"/>
    <n v="1059.3800000000001"/>
    <n v="1569"/>
    <n v="1220838.8999999999"/>
    <n v="1662167.22"/>
    <n v="441328.32"/>
    <n v="36.15"/>
    <x v="1"/>
    <n v="0.22520000000000001"/>
    <n v="0.74"/>
  </r>
  <r>
    <s v="AXE-0733"/>
    <s v="2023-05-20"/>
    <s v="GS"/>
    <s v="Goldman Sachs"/>
    <x v="4"/>
    <x v="3"/>
    <x v="1"/>
    <n v="389.24"/>
    <n v="496.63"/>
    <n v="3063"/>
    <n v="1192242.1200000001"/>
    <n v="1521177.69"/>
    <n v="328935.57"/>
    <n v="27.59"/>
    <x v="1"/>
    <n v="0.49340000000000001"/>
    <n v="1.35"/>
  </r>
  <r>
    <s v="AXE-0734"/>
    <s v="2023-12-12"/>
    <s v="BLK"/>
    <s v="BlackRock"/>
    <x v="4"/>
    <x v="4"/>
    <x v="1"/>
    <n v="834.51"/>
    <n v="744.62"/>
    <n v="4298"/>
    <n v="3586723.98"/>
    <n v="3200376.76"/>
    <n v="-386347.22"/>
    <n v="-10.77"/>
    <x v="2"/>
    <n v="0.2316"/>
    <n v="1.3"/>
  </r>
  <r>
    <s v="AXE-0735"/>
    <s v="2022-11-24"/>
    <s v="META"/>
    <s v="Meta Platforms"/>
    <x v="0"/>
    <x v="0"/>
    <x v="2"/>
    <n v="314.64999999999998"/>
    <n v="234.55"/>
    <n v="3027"/>
    <n v="952445.55"/>
    <n v="709982.85"/>
    <n v="-242462.7"/>
    <n v="-25.46"/>
    <x v="1"/>
    <n v="0.3004"/>
    <n v="1.69"/>
  </r>
  <r>
    <s v="AXE-0736"/>
    <s v="2022-02-19"/>
    <s v="OXY"/>
    <s v="Occidental Pet."/>
    <x v="3"/>
    <x v="4"/>
    <x v="0"/>
    <n v="67.709999999999994"/>
    <n v="63.23"/>
    <n v="4438"/>
    <n v="300496.98"/>
    <n v="280614.74"/>
    <n v="-19882.240000000002"/>
    <n v="-6.62"/>
    <x v="0"/>
    <n v="0.20330000000000001"/>
    <n v="1.35"/>
  </r>
  <r>
    <s v="AXE-0737"/>
    <s v="2023-09-06"/>
    <s v="NVDA"/>
    <s v="NVIDIA Corp."/>
    <x v="0"/>
    <x v="3"/>
    <x v="1"/>
    <n v="667.04"/>
    <n v="973.06"/>
    <n v="2742"/>
    <n v="1829023.68"/>
    <n v="2668130.52"/>
    <n v="839106.84"/>
    <n v="45.88"/>
    <x v="1"/>
    <n v="0.41449999999999998"/>
    <n v="0.96"/>
  </r>
  <r>
    <s v="AXE-0738"/>
    <s v="2022-04-09"/>
    <s v="OXY"/>
    <s v="Occidental Pet."/>
    <x v="3"/>
    <x v="0"/>
    <x v="3"/>
    <n v="57.92"/>
    <n v="62.38"/>
    <n v="205"/>
    <n v="11873.6"/>
    <n v="12787.9"/>
    <n v="914.3"/>
    <n v="7.7"/>
    <x v="0"/>
    <n v="0.45490000000000003"/>
    <n v="1.0900000000000001"/>
  </r>
  <r>
    <s v="AXE-0739"/>
    <s v="2022-04-15"/>
    <s v="AMZN"/>
    <s v="Amazon.com"/>
    <x v="6"/>
    <x v="0"/>
    <x v="2"/>
    <n v="132.87"/>
    <n v="93.9"/>
    <n v="4223"/>
    <n v="561110.01"/>
    <n v="396539.7"/>
    <n v="-164570.31"/>
    <n v="-29.33"/>
    <x v="1"/>
    <n v="0.50570000000000004"/>
    <n v="1.34"/>
  </r>
  <r>
    <s v="AXE-0740"/>
    <s v="2023-06-29"/>
    <s v="NFLX"/>
    <s v="Netflix Inc."/>
    <x v="5"/>
    <x v="2"/>
    <x v="1"/>
    <n v="506.16"/>
    <n v="486.72"/>
    <n v="3872"/>
    <n v="1959851.52"/>
    <n v="1884579.8400000001"/>
    <n v="-75271.679999999993"/>
    <n v="-3.84"/>
    <x v="0"/>
    <n v="0.1764"/>
    <n v="0.62"/>
  </r>
  <r>
    <s v="AXE-0741"/>
    <s v="2022-11-16"/>
    <s v="OXY"/>
    <s v="Occidental Pet."/>
    <x v="3"/>
    <x v="0"/>
    <x v="3"/>
    <n v="72.599999999999994"/>
    <n v="94.26"/>
    <n v="3720"/>
    <n v="270072"/>
    <n v="350647.2"/>
    <n v="80575.199999999997"/>
    <n v="29.83"/>
    <x v="1"/>
    <n v="0.44829999999999998"/>
    <n v="1.01"/>
  </r>
  <r>
    <s v="AXE-0742"/>
    <s v="2022-01-30"/>
    <s v="XOM"/>
    <s v="Exxon Mobil"/>
    <x v="3"/>
    <x v="0"/>
    <x v="1"/>
    <n v="116.24"/>
    <n v="113.87"/>
    <n v="1154"/>
    <n v="134140.96"/>
    <n v="131405.98000000001"/>
    <n v="-2734.98"/>
    <n v="-2.04"/>
    <x v="0"/>
    <n v="0.21740000000000001"/>
    <n v="0.75"/>
  </r>
  <r>
    <s v="AXE-0743"/>
    <s v="2022-03-22"/>
    <s v="META"/>
    <s v="Meta Platforms"/>
    <x v="0"/>
    <x v="1"/>
    <x v="1"/>
    <n v="299.47000000000003"/>
    <n v="365.05"/>
    <n v="736"/>
    <n v="220409.92"/>
    <n v="268676.8"/>
    <n v="48266.879999999997"/>
    <n v="21.9"/>
    <x v="2"/>
    <n v="0.3054"/>
    <n v="0.84"/>
  </r>
  <r>
    <s v="AXE-0744"/>
    <s v="2023-11-07"/>
    <s v="MSFT"/>
    <s v="Microsoft Corp."/>
    <x v="0"/>
    <x v="2"/>
    <x v="1"/>
    <n v="359.22"/>
    <n v="327"/>
    <n v="1074"/>
    <n v="385802.28"/>
    <n v="351198"/>
    <n v="-34604.28"/>
    <n v="-8.9700000000000006"/>
    <x v="2"/>
    <n v="0.24970000000000001"/>
    <n v="0.61"/>
  </r>
  <r>
    <s v="AXE-0745"/>
    <s v="2022-05-07"/>
    <s v="NVDA"/>
    <s v="NVIDIA Corp."/>
    <x v="0"/>
    <x v="3"/>
    <x v="2"/>
    <n v="543.26"/>
    <n v="424.67"/>
    <n v="1738"/>
    <n v="944185.88"/>
    <n v="738076.46"/>
    <n v="-206109.42"/>
    <n v="-21.83"/>
    <x v="2"/>
    <n v="0.159"/>
    <n v="1.62"/>
  </r>
  <r>
    <s v="AXE-0746"/>
    <s v="2023-08-17"/>
    <s v="GS"/>
    <s v="Goldman Sachs"/>
    <x v="4"/>
    <x v="4"/>
    <x v="3"/>
    <n v="420.49"/>
    <n v="599.85"/>
    <n v="1415"/>
    <n v="594993.35"/>
    <n v="848787.75"/>
    <n v="253794.4"/>
    <n v="42.65"/>
    <x v="1"/>
    <n v="0.3836"/>
    <n v="1.21"/>
  </r>
  <r>
    <s v="AXE-0747"/>
    <s v="2022-04-12"/>
    <s v="GOOGL"/>
    <s v="Alphabet Inc."/>
    <x v="0"/>
    <x v="3"/>
    <x v="1"/>
    <n v="149.06"/>
    <n v="231.79"/>
    <n v="1877"/>
    <n v="279785.62"/>
    <n v="435069.83"/>
    <n v="155284.21"/>
    <n v="55.5"/>
    <x v="1"/>
    <n v="0.19389999999999999"/>
    <n v="1.5"/>
  </r>
  <r>
    <s v="AXE-0748"/>
    <s v="2022-04-12"/>
    <s v="AAPL"/>
    <s v="Apple Inc."/>
    <x v="0"/>
    <x v="3"/>
    <x v="2"/>
    <n v="167.99"/>
    <n v="149.69999999999999"/>
    <n v="3988"/>
    <n v="669944.12"/>
    <n v="597003.6"/>
    <n v="-72940.52"/>
    <n v="-10.89"/>
    <x v="2"/>
    <n v="0.30909999999999999"/>
    <n v="1.75"/>
  </r>
  <r>
    <s v="AXE-0749"/>
    <s v="2022-12-30"/>
    <s v="AMZN"/>
    <s v="Amazon.com"/>
    <x v="6"/>
    <x v="2"/>
    <x v="1"/>
    <n v="145.62"/>
    <n v="169.69"/>
    <n v="1855"/>
    <n v="270125.09999999998"/>
    <n v="314774.95"/>
    <n v="44649.85"/>
    <n v="16.53"/>
    <x v="2"/>
    <n v="0.44740000000000002"/>
    <n v="0.98"/>
  </r>
  <r>
    <s v="AXE-0750"/>
    <s v="2022-04-23"/>
    <s v="PFE"/>
    <s v="Pfizer Inc."/>
    <x v="2"/>
    <x v="2"/>
    <x v="1"/>
    <n v="50.95"/>
    <n v="64.709999999999994"/>
    <n v="3059"/>
    <n v="155856.04999999999"/>
    <n v="197947.89"/>
    <n v="42091.839999999997"/>
    <n v="27.01"/>
    <x v="1"/>
    <n v="0.13750000000000001"/>
    <n v="0.99"/>
  </r>
  <r>
    <s v="AXE-0751"/>
    <s v="2023-01-30"/>
    <s v="NVDA"/>
    <s v="NVIDIA Corp."/>
    <x v="0"/>
    <x v="2"/>
    <x v="0"/>
    <n v="633.66999999999996"/>
    <n v="930.71"/>
    <n v="2655"/>
    <n v="1682393.85"/>
    <n v="2471035.0499999998"/>
    <n v="788641.2"/>
    <n v="46.88"/>
    <x v="1"/>
    <n v="0.21709999999999999"/>
    <n v="1.0900000000000001"/>
  </r>
  <r>
    <s v="AXE-0752"/>
    <s v="2022-07-13"/>
    <s v="LLY"/>
    <s v="Eli Lilly"/>
    <x v="2"/>
    <x v="2"/>
    <x v="1"/>
    <n v="497.08"/>
    <n v="784.94"/>
    <n v="3110"/>
    <n v="1545918.8"/>
    <n v="2441163.4"/>
    <n v="895244.6"/>
    <n v="57.91"/>
    <x v="1"/>
    <n v="0.33139999999999997"/>
    <n v="0.73"/>
  </r>
  <r>
    <s v="AXE-0753"/>
    <s v="2023-06-20"/>
    <s v="PFE"/>
    <s v="Pfizer Inc."/>
    <x v="2"/>
    <x v="1"/>
    <x v="1"/>
    <n v="46.49"/>
    <n v="63.53"/>
    <n v="1274"/>
    <n v="59228.26"/>
    <n v="80937.22"/>
    <n v="21708.959999999999"/>
    <n v="36.65"/>
    <x v="1"/>
    <n v="0.54039999999999999"/>
    <n v="1.49"/>
  </r>
  <r>
    <s v="AXE-0754"/>
    <s v="2022-03-08"/>
    <s v="AMZN"/>
    <s v="Amazon.com"/>
    <x v="6"/>
    <x v="0"/>
    <x v="3"/>
    <n v="131.96"/>
    <n v="194.09"/>
    <n v="2874"/>
    <n v="379253.04"/>
    <n v="557814.66"/>
    <n v="178561.62"/>
    <n v="47.08"/>
    <x v="1"/>
    <n v="0.29380000000000001"/>
    <n v="0.88"/>
  </r>
  <r>
    <s v="AXE-0755"/>
    <s v="2023-05-27"/>
    <s v="LLY"/>
    <s v="Eli Lilly"/>
    <x v="2"/>
    <x v="3"/>
    <x v="0"/>
    <n v="512.54"/>
    <n v="734.29"/>
    <n v="4963"/>
    <n v="2543736.02"/>
    <n v="3644281.27"/>
    <n v="1100545.25"/>
    <n v="43.26"/>
    <x v="1"/>
    <n v="0.39679999999999999"/>
    <n v="1.08"/>
  </r>
  <r>
    <s v="AXE-0756"/>
    <s v="2023-11-14"/>
    <s v="BLK"/>
    <s v="BlackRock"/>
    <x v="4"/>
    <x v="2"/>
    <x v="1"/>
    <n v="728.26"/>
    <n v="1032.3800000000001"/>
    <n v="4289"/>
    <n v="3123507.14"/>
    <n v="4427877.82"/>
    <n v="1304370.68"/>
    <n v="41.76"/>
    <x v="1"/>
    <n v="0.16650000000000001"/>
    <n v="0.9"/>
  </r>
  <r>
    <s v="AXE-0757"/>
    <s v="2022-08-25"/>
    <s v="BLK"/>
    <s v="BlackRock"/>
    <x v="4"/>
    <x v="1"/>
    <x v="1"/>
    <n v="835.64"/>
    <n v="1221.05"/>
    <n v="915"/>
    <n v="764610.6"/>
    <n v="1117260.75"/>
    <n v="352650.15"/>
    <n v="46.12"/>
    <x v="1"/>
    <n v="0.3342"/>
    <n v="0.63"/>
  </r>
  <r>
    <s v="AXE-0758"/>
    <s v="2023-01-27"/>
    <s v="AMZN"/>
    <s v="Amazon.com"/>
    <x v="6"/>
    <x v="0"/>
    <x v="3"/>
    <n v="150.31"/>
    <n v="142.41"/>
    <n v="2580"/>
    <n v="387799.8"/>
    <n v="367417.8"/>
    <n v="-20382"/>
    <n v="-5.26"/>
    <x v="0"/>
    <n v="0.15290000000000001"/>
    <n v="1.5"/>
  </r>
  <r>
    <s v="AXE-0759"/>
    <s v="2023-04-23"/>
    <s v="BLK"/>
    <s v="BlackRock"/>
    <x v="4"/>
    <x v="4"/>
    <x v="2"/>
    <n v="777.72"/>
    <n v="575.79999999999995"/>
    <n v="4178"/>
    <n v="3249314.16"/>
    <n v="2405692.4"/>
    <n v="-843621.76"/>
    <n v="-25.96"/>
    <x v="1"/>
    <n v="0.26779999999999998"/>
    <n v="1.63"/>
  </r>
  <r>
    <s v="AXE-0760"/>
    <s v="2022-01-19"/>
    <s v="BA"/>
    <s v="Boeing Co."/>
    <x v="1"/>
    <x v="2"/>
    <x v="1"/>
    <n v="202.67"/>
    <n v="222.98"/>
    <n v="1075"/>
    <n v="217870.25"/>
    <n v="239703.5"/>
    <n v="21833.25"/>
    <n v="10.02"/>
    <x v="2"/>
    <n v="0.28179999999999999"/>
    <n v="1.1499999999999999"/>
  </r>
  <r>
    <s v="AXE-0761"/>
    <s v="2022-07-01"/>
    <s v="MSFT"/>
    <s v="Microsoft Corp."/>
    <x v="0"/>
    <x v="0"/>
    <x v="0"/>
    <n v="313.35000000000002"/>
    <n v="344.28"/>
    <n v="4126"/>
    <n v="1292882.1000000001"/>
    <n v="1420499.28"/>
    <n v="127617.18"/>
    <n v="9.8699999999999992"/>
    <x v="2"/>
    <n v="0.2873"/>
    <n v="1.52"/>
  </r>
  <r>
    <s v="AXE-0762"/>
    <s v="2023-11-23"/>
    <s v="CAT"/>
    <s v="Caterpillar"/>
    <x v="1"/>
    <x v="3"/>
    <x v="2"/>
    <n v="245.2"/>
    <n v="205.7"/>
    <n v="4518"/>
    <n v="1107813.6000000001"/>
    <n v="929352.6"/>
    <n v="-178461"/>
    <n v="-16.11"/>
    <x v="2"/>
    <n v="0.4874"/>
    <n v="1.21"/>
  </r>
  <r>
    <s v="AXE-0763"/>
    <s v="2022-09-27"/>
    <s v="JNJ"/>
    <s v="J&amp;J"/>
    <x v="2"/>
    <x v="3"/>
    <x v="2"/>
    <n v="170.79"/>
    <n v="133.6"/>
    <n v="3194"/>
    <n v="545503.26"/>
    <n v="426718.4"/>
    <n v="-118784.86"/>
    <n v="-21.78"/>
    <x v="2"/>
    <n v="0.54039999999999999"/>
    <n v="0.98"/>
  </r>
  <r>
    <s v="AXE-0764"/>
    <s v="2023-08-28"/>
    <s v="AAPL"/>
    <s v="Apple Inc."/>
    <x v="0"/>
    <x v="0"/>
    <x v="1"/>
    <n v="167.07"/>
    <n v="233.8"/>
    <n v="3101"/>
    <n v="518084.07"/>
    <n v="725013.8"/>
    <n v="206929.73"/>
    <n v="39.94"/>
    <x v="1"/>
    <n v="0.13159999999999999"/>
    <n v="1.67"/>
  </r>
  <r>
    <s v="AXE-0765"/>
    <s v="2023-01-25"/>
    <s v="CVX"/>
    <s v="Chevron Corp."/>
    <x v="3"/>
    <x v="2"/>
    <x v="1"/>
    <n v="183.61"/>
    <n v="214.52"/>
    <n v="2927"/>
    <n v="537426.47"/>
    <n v="627900.04"/>
    <n v="90473.57"/>
    <n v="16.829999999999998"/>
    <x v="2"/>
    <n v="0.14430000000000001"/>
    <n v="0.89"/>
  </r>
  <r>
    <s v="AXE-0766"/>
    <s v="2023-10-26"/>
    <s v="JPM"/>
    <s v="JPMorgan Chase"/>
    <x v="4"/>
    <x v="3"/>
    <x v="0"/>
    <n v="174.08"/>
    <n v="161.16999999999999"/>
    <n v="795"/>
    <n v="138393.60000000001"/>
    <n v="128130.15"/>
    <n v="-10263.450000000001"/>
    <n v="-7.42"/>
    <x v="0"/>
    <n v="0.25109999999999999"/>
    <n v="1.01"/>
  </r>
  <r>
    <s v="AXE-0767"/>
    <s v="2023-07-06"/>
    <s v="AAPL"/>
    <s v="Apple Inc."/>
    <x v="0"/>
    <x v="1"/>
    <x v="3"/>
    <n v="183.28"/>
    <n v="215.49"/>
    <n v="3875"/>
    <n v="710210"/>
    <n v="835023.75"/>
    <n v="124813.75"/>
    <n v="17.57"/>
    <x v="2"/>
    <n v="0.34129999999999999"/>
    <n v="1.1100000000000001"/>
  </r>
  <r>
    <s v="AXE-0768"/>
    <s v="2023-12-14"/>
    <s v="AAPL"/>
    <s v="Apple Inc."/>
    <x v="0"/>
    <x v="3"/>
    <x v="2"/>
    <n v="200.5"/>
    <n v="159.15"/>
    <n v="282"/>
    <n v="56541"/>
    <n v="44880.3"/>
    <n v="-11660.7"/>
    <n v="-20.62"/>
    <x v="2"/>
    <n v="0.2878"/>
    <n v="1.29"/>
  </r>
  <r>
    <s v="AXE-0769"/>
    <s v="2022-04-13"/>
    <s v="BLK"/>
    <s v="BlackRock"/>
    <x v="4"/>
    <x v="4"/>
    <x v="2"/>
    <n v="780.65"/>
    <n v="758.68"/>
    <n v="4169"/>
    <n v="3254529.85"/>
    <n v="3162936.92"/>
    <n v="-91592.93"/>
    <n v="-2.81"/>
    <x v="0"/>
    <n v="0.26600000000000001"/>
    <n v="1.34"/>
  </r>
  <r>
    <s v="AXE-0770"/>
    <s v="2023-03-23"/>
    <s v="OXY"/>
    <s v="Occidental Pet."/>
    <x v="3"/>
    <x v="2"/>
    <x v="2"/>
    <n v="71.64"/>
    <n v="62.07"/>
    <n v="717"/>
    <n v="51365.88"/>
    <n v="44504.19"/>
    <n v="-6861.69"/>
    <n v="-13.36"/>
    <x v="2"/>
    <n v="0.24360000000000001"/>
    <n v="0.66"/>
  </r>
  <r>
    <s v="AXE-0771"/>
    <s v="2023-02-16"/>
    <s v="CAT"/>
    <s v="Caterpillar"/>
    <x v="1"/>
    <x v="3"/>
    <x v="2"/>
    <n v="255.67"/>
    <n v="226.52"/>
    <n v="853"/>
    <n v="218086.51"/>
    <n v="193221.56"/>
    <n v="-24864.95"/>
    <n v="-11.4"/>
    <x v="2"/>
    <n v="0.3745"/>
    <n v="0.93"/>
  </r>
  <r>
    <s v="AXE-0772"/>
    <s v="2023-06-28"/>
    <s v="CAT"/>
    <s v="Caterpillar"/>
    <x v="1"/>
    <x v="2"/>
    <x v="2"/>
    <n v="229.01"/>
    <n v="150.06"/>
    <n v="1818"/>
    <n v="416340.18"/>
    <n v="272809.08"/>
    <n v="-143531.1"/>
    <n v="-34.47"/>
    <x v="1"/>
    <n v="0.47420000000000001"/>
    <n v="1.21"/>
  </r>
  <r>
    <s v="AXE-0773"/>
    <s v="2023-03-20"/>
    <s v="XOM"/>
    <s v="Exxon Mobil"/>
    <x v="3"/>
    <x v="0"/>
    <x v="3"/>
    <n v="101.92"/>
    <n v="134.28"/>
    <n v="3494"/>
    <n v="356108.48"/>
    <n v="469174.32"/>
    <n v="113065.84"/>
    <n v="31.75"/>
    <x v="1"/>
    <n v="0.31490000000000001"/>
    <n v="1.52"/>
  </r>
  <r>
    <s v="AXE-0774"/>
    <s v="2022-01-20"/>
    <s v="AMZN"/>
    <s v="Amazon.com"/>
    <x v="6"/>
    <x v="3"/>
    <x v="1"/>
    <n v="132.51"/>
    <n v="205.85"/>
    <n v="4189"/>
    <n v="555084.39"/>
    <n v="862305.65"/>
    <n v="307221.26"/>
    <n v="55.35"/>
    <x v="1"/>
    <n v="0.43909999999999999"/>
    <n v="1.1599999999999999"/>
  </r>
  <r>
    <s v="AXE-0775"/>
    <s v="2023-09-22"/>
    <s v="BA"/>
    <s v="Boeing Co."/>
    <x v="1"/>
    <x v="3"/>
    <x v="1"/>
    <n v="211.4"/>
    <n v="239.94"/>
    <n v="590"/>
    <n v="124726"/>
    <n v="141564.6"/>
    <n v="16838.599999999999"/>
    <n v="13.5"/>
    <x v="2"/>
    <n v="0.1835"/>
    <n v="0.78"/>
  </r>
  <r>
    <s v="AXE-0776"/>
    <s v="2023-03-22"/>
    <s v="XOM"/>
    <s v="Exxon Mobil"/>
    <x v="3"/>
    <x v="4"/>
    <x v="1"/>
    <n v="109.22"/>
    <n v="160.79"/>
    <n v="627"/>
    <n v="68480.94"/>
    <n v="100815.33"/>
    <n v="32334.39"/>
    <n v="47.22"/>
    <x v="1"/>
    <n v="0.23480000000000001"/>
    <n v="0.94"/>
  </r>
  <r>
    <s v="AXE-0777"/>
    <s v="2022-09-20"/>
    <s v="AMZN"/>
    <s v="Amazon.com"/>
    <x v="6"/>
    <x v="2"/>
    <x v="2"/>
    <n v="128.19"/>
    <n v="90.79"/>
    <n v="2053"/>
    <n v="263174.07"/>
    <n v="186391.87"/>
    <n v="-76782.2"/>
    <n v="-29.18"/>
    <x v="1"/>
    <n v="0.22559999999999999"/>
    <n v="1.59"/>
  </r>
  <r>
    <s v="AXE-0778"/>
    <s v="2023-05-13"/>
    <s v="PFE"/>
    <s v="Pfizer Inc."/>
    <x v="2"/>
    <x v="2"/>
    <x v="1"/>
    <n v="43.71"/>
    <n v="46.81"/>
    <n v="403"/>
    <n v="17615.13"/>
    <n v="18864.43"/>
    <n v="1249.3"/>
    <n v="7.09"/>
    <x v="0"/>
    <n v="0.13250000000000001"/>
    <n v="1.55"/>
  </r>
  <r>
    <s v="AXE-0779"/>
    <s v="2023-11-06"/>
    <s v="GS"/>
    <s v="Goldman Sachs"/>
    <x v="4"/>
    <x v="1"/>
    <x v="1"/>
    <n v="412.17"/>
    <n v="378.67"/>
    <n v="4080"/>
    <n v="1681653.6"/>
    <n v="1544973.6"/>
    <n v="-136680"/>
    <n v="-8.1300000000000008"/>
    <x v="2"/>
    <n v="0.50549999999999995"/>
    <n v="0.98"/>
  </r>
  <r>
    <s v="AXE-0780"/>
    <s v="2022-03-07"/>
    <s v="XOM"/>
    <s v="Exxon Mobil"/>
    <x v="3"/>
    <x v="4"/>
    <x v="1"/>
    <n v="101.75"/>
    <n v="149.36000000000001"/>
    <n v="839"/>
    <n v="85368.25"/>
    <n v="125313.04"/>
    <n v="39944.79"/>
    <n v="46.79"/>
    <x v="1"/>
    <n v="0.4824"/>
    <n v="0.88"/>
  </r>
  <r>
    <s v="AXE-0781"/>
    <s v="2023-05-28"/>
    <s v="CAT"/>
    <s v="Caterpillar"/>
    <x v="1"/>
    <x v="3"/>
    <x v="1"/>
    <n v="272.38"/>
    <n v="417.31"/>
    <n v="4854"/>
    <n v="1322132.52"/>
    <n v="2025622.74"/>
    <n v="703490.22"/>
    <n v="53.21"/>
    <x v="1"/>
    <n v="0.2283"/>
    <n v="1.66"/>
  </r>
  <r>
    <s v="AXE-0782"/>
    <s v="2023-09-07"/>
    <s v="JPM"/>
    <s v="JPMorgan Chase"/>
    <x v="4"/>
    <x v="4"/>
    <x v="1"/>
    <n v="170.45"/>
    <n v="237.96"/>
    <n v="2797"/>
    <n v="476748.65"/>
    <n v="665574.12"/>
    <n v="188825.47"/>
    <n v="39.61"/>
    <x v="1"/>
    <n v="0.46650000000000003"/>
    <n v="1.49"/>
  </r>
  <r>
    <s v="AXE-0783"/>
    <s v="2022-08-12"/>
    <s v="LLY"/>
    <s v="Eli Lilly"/>
    <x v="2"/>
    <x v="1"/>
    <x v="1"/>
    <n v="502.83"/>
    <n v="539.13"/>
    <n v="1534"/>
    <n v="771341.22"/>
    <n v="827025.42"/>
    <n v="55684.2"/>
    <n v="7.22"/>
    <x v="0"/>
    <n v="0.29559999999999997"/>
    <n v="1.64"/>
  </r>
  <r>
    <s v="AXE-0784"/>
    <s v="2023-05-18"/>
    <s v="MSFT"/>
    <s v="Microsoft Corp."/>
    <x v="0"/>
    <x v="1"/>
    <x v="3"/>
    <n v="324.39"/>
    <n v="393.29"/>
    <n v="2692"/>
    <n v="873257.88"/>
    <n v="1058736.68"/>
    <n v="185478.8"/>
    <n v="21.24"/>
    <x v="2"/>
    <n v="0.22589999999999999"/>
    <n v="0.93"/>
  </r>
  <r>
    <s v="AXE-0785"/>
    <s v="2023-01-07"/>
    <s v="META"/>
    <s v="Meta Platforms"/>
    <x v="0"/>
    <x v="4"/>
    <x v="2"/>
    <n v="299.70999999999998"/>
    <n v="319.11"/>
    <n v="2624"/>
    <n v="786439.04"/>
    <n v="837344.64"/>
    <n v="50905.599999999999"/>
    <n v="6.47"/>
    <x v="0"/>
    <n v="0.3805"/>
    <n v="1.61"/>
  </r>
  <r>
    <s v="AXE-0786"/>
    <s v="2023-12-09"/>
    <s v="MSFT"/>
    <s v="Microsoft Corp."/>
    <x v="0"/>
    <x v="4"/>
    <x v="2"/>
    <n v="308.93"/>
    <n v="282.33999999999997"/>
    <n v="4627"/>
    <n v="1429419.11"/>
    <n v="1306387.18"/>
    <n v="-123031.93"/>
    <n v="-8.61"/>
    <x v="2"/>
    <n v="0.42130000000000001"/>
    <n v="1.68"/>
  </r>
  <r>
    <s v="AXE-0787"/>
    <s v="2023-07-02"/>
    <s v="NVDA"/>
    <s v="NVIDIA Corp."/>
    <x v="0"/>
    <x v="2"/>
    <x v="2"/>
    <n v="511.42"/>
    <n v="543.1"/>
    <n v="3282"/>
    <n v="1678480.44"/>
    <n v="1782454.2"/>
    <n v="103973.75999999999"/>
    <n v="6.19"/>
    <x v="0"/>
    <n v="0.51880000000000004"/>
    <n v="1.7"/>
  </r>
  <r>
    <s v="AXE-0788"/>
    <s v="2022-04-03"/>
    <s v="XOM"/>
    <s v="Exxon Mobil"/>
    <x v="3"/>
    <x v="4"/>
    <x v="2"/>
    <n v="116.32"/>
    <n v="80.69"/>
    <n v="1823"/>
    <n v="212051.36"/>
    <n v="147097.87"/>
    <n v="-64953.49"/>
    <n v="-30.63"/>
    <x v="1"/>
    <n v="0.30869999999999997"/>
    <n v="0.98"/>
  </r>
  <r>
    <s v="AXE-0789"/>
    <s v="2022-02-04"/>
    <s v="LLY"/>
    <s v="Eli Lilly"/>
    <x v="2"/>
    <x v="1"/>
    <x v="0"/>
    <n v="545.23"/>
    <n v="637.41"/>
    <n v="4127"/>
    <n v="2250164.21"/>
    <n v="2630591.0699999998"/>
    <n v="380426.86"/>
    <n v="16.91"/>
    <x v="2"/>
    <n v="0.48170000000000002"/>
    <n v="1.46"/>
  </r>
  <r>
    <s v="AXE-0790"/>
    <s v="2022-06-14"/>
    <s v="NVDA"/>
    <s v="NVIDIA Corp."/>
    <x v="0"/>
    <x v="3"/>
    <x v="0"/>
    <n v="573.33000000000004"/>
    <n v="746.18"/>
    <n v="643"/>
    <n v="368651.19"/>
    <n v="479793.74"/>
    <n v="111142.55"/>
    <n v="30.15"/>
    <x v="1"/>
    <n v="0.4698"/>
    <n v="1.49"/>
  </r>
  <r>
    <s v="AXE-0791"/>
    <s v="2023-12-13"/>
    <s v="PFE"/>
    <s v="Pfizer Inc."/>
    <x v="2"/>
    <x v="1"/>
    <x v="1"/>
    <n v="49.87"/>
    <n v="71.5"/>
    <n v="1605"/>
    <n v="80041.350000000006"/>
    <n v="114757.5"/>
    <n v="34716.15"/>
    <n v="43.37"/>
    <x v="1"/>
    <n v="0.17849999999999999"/>
    <n v="1.08"/>
  </r>
  <r>
    <s v="AXE-0792"/>
    <s v="2022-11-18"/>
    <s v="XOM"/>
    <s v="Exxon Mobil"/>
    <x v="3"/>
    <x v="1"/>
    <x v="1"/>
    <n v="97.11"/>
    <n v="133.96"/>
    <n v="1392"/>
    <n v="135177.12"/>
    <n v="186472.32000000001"/>
    <n v="51295.199999999997"/>
    <n v="37.950000000000003"/>
    <x v="1"/>
    <n v="0.4501"/>
    <n v="1.38"/>
  </r>
  <r>
    <s v="AXE-0793"/>
    <s v="2023-09-01"/>
    <s v="META"/>
    <s v="Meta Platforms"/>
    <x v="0"/>
    <x v="4"/>
    <x v="1"/>
    <n v="347.73"/>
    <n v="484.95"/>
    <n v="3798"/>
    <n v="1320678.54"/>
    <n v="1841840.1"/>
    <n v="521161.56"/>
    <n v="39.46"/>
    <x v="1"/>
    <n v="0.2321"/>
    <n v="1.42"/>
  </r>
  <r>
    <s v="AXE-0794"/>
    <s v="2022-10-16"/>
    <s v="CVX"/>
    <s v="Chevron Corp."/>
    <x v="3"/>
    <x v="1"/>
    <x v="2"/>
    <n v="153.63999999999999"/>
    <n v="123.07"/>
    <n v="3495"/>
    <n v="536971.80000000005"/>
    <n v="430129.65"/>
    <n v="-106842.15"/>
    <n v="-19.899999999999999"/>
    <x v="2"/>
    <n v="0.28220000000000001"/>
    <n v="1.6"/>
  </r>
  <r>
    <s v="AXE-0795"/>
    <s v="2022-08-18"/>
    <s v="CAT"/>
    <s v="Caterpillar"/>
    <x v="1"/>
    <x v="1"/>
    <x v="1"/>
    <n v="250.59"/>
    <n v="330.44"/>
    <n v="4675"/>
    <n v="1171508.25"/>
    <n v="1544807"/>
    <n v="373298.75"/>
    <n v="31.86"/>
    <x v="1"/>
    <n v="0.50990000000000002"/>
    <n v="1.77"/>
  </r>
  <r>
    <s v="AXE-0796"/>
    <s v="2022-09-26"/>
    <s v="TSLA"/>
    <s v="Tesla Inc."/>
    <x v="6"/>
    <x v="1"/>
    <x v="1"/>
    <n v="227.79"/>
    <n v="296.19"/>
    <n v="3385"/>
    <n v="771069.15"/>
    <n v="1002603.15"/>
    <n v="231534"/>
    <n v="30.03"/>
    <x v="1"/>
    <n v="0.1842"/>
    <n v="1.75"/>
  </r>
  <r>
    <s v="AXE-0797"/>
    <s v="2023-08-04"/>
    <s v="AMZN"/>
    <s v="Amazon.com"/>
    <x v="6"/>
    <x v="1"/>
    <x v="1"/>
    <n v="142.18"/>
    <n v="216.68"/>
    <n v="4407"/>
    <n v="626587.26"/>
    <n v="954908.76"/>
    <n v="328321.5"/>
    <n v="52.4"/>
    <x v="1"/>
    <n v="0.31509999999999999"/>
    <n v="1.41"/>
  </r>
  <r>
    <s v="AXE-0798"/>
    <s v="2022-08-18"/>
    <s v="NVDA"/>
    <s v="NVIDIA Corp."/>
    <x v="0"/>
    <x v="0"/>
    <x v="2"/>
    <n v="561.83000000000004"/>
    <n v="476.05"/>
    <n v="2280"/>
    <n v="1280972.3999999999"/>
    <n v="1085394"/>
    <n v="-195578.4"/>
    <n v="-15.27"/>
    <x v="2"/>
    <n v="0.17599999999999999"/>
    <n v="1.63"/>
  </r>
  <r>
    <s v="AXE-0799"/>
    <s v="2022-08-09"/>
    <s v="MS"/>
    <s v="Morgan Stanley"/>
    <x v="4"/>
    <x v="0"/>
    <x v="0"/>
    <n v="81.37"/>
    <n v="116.74"/>
    <n v="3526"/>
    <n v="286910.62"/>
    <n v="411625.24"/>
    <n v="124714.62"/>
    <n v="43.47"/>
    <x v="1"/>
    <n v="0.13239999999999999"/>
    <n v="1.77"/>
  </r>
  <r>
    <s v="AXE-0800"/>
    <s v="2023-09-25"/>
    <s v="JPM"/>
    <s v="JPMorgan Chase"/>
    <x v="4"/>
    <x v="0"/>
    <x v="2"/>
    <n v="158.85"/>
    <n v="145.78"/>
    <n v="3128"/>
    <n v="496882.8"/>
    <n v="455999.84"/>
    <n v="-40882.959999999999"/>
    <n v="-8.23"/>
    <x v="2"/>
    <n v="0.15690000000000001"/>
    <n v="1.15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63FB9E-E030-4920-B9A1-FDD49EFFF1E3}"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B26" firstHeaderRow="1" firstDataRow="1" firstDataCol="1"/>
  <pivotFields count="17">
    <pivotField showAll="0"/>
    <pivotField showAll="0"/>
    <pivotField showAll="0"/>
    <pivotField showAll="0"/>
    <pivotField showAll="0">
      <items count="8">
        <item x="5"/>
        <item x="6"/>
        <item x="3"/>
        <item x="4"/>
        <item x="2"/>
        <item x="1"/>
        <item x="0"/>
        <item t="default"/>
      </items>
    </pivotField>
    <pivotField showAll="0">
      <items count="6">
        <item x="1"/>
        <item x="3"/>
        <item x="2"/>
        <item x="0"/>
        <item x="4"/>
        <item t="default"/>
      </items>
    </pivotField>
    <pivotField axis="axisRow" showAll="0">
      <items count="5">
        <item x="0"/>
        <item x="1"/>
        <item x="3"/>
        <item x="2"/>
        <item t="default"/>
      </items>
    </pivotField>
    <pivotField showAll="0"/>
    <pivotField showAll="0"/>
    <pivotField showAll="0"/>
    <pivotField showAll="0"/>
    <pivotField showAll="0"/>
    <pivotField dataField="1" showAll="0"/>
    <pivotField showAll="0"/>
    <pivotField showAll="0">
      <items count="4">
        <item x="1"/>
        <item x="0"/>
        <item x="2"/>
        <item t="default"/>
      </items>
    </pivotField>
    <pivotField showAll="0"/>
    <pivotField showAll="0"/>
  </pivotFields>
  <rowFields count="1">
    <field x="6"/>
  </rowFields>
  <rowItems count="5">
    <i>
      <x/>
    </i>
    <i>
      <x v="1"/>
    </i>
    <i>
      <x v="2"/>
    </i>
    <i>
      <x v="3"/>
    </i>
    <i t="grand">
      <x/>
    </i>
  </rowItems>
  <colItems count="1">
    <i/>
  </colItems>
  <dataFields count="1">
    <dataField name="Sum of P&amp;L($)" fld="12" baseField="0" baseItem="0"/>
  </dataFields>
  <formats count="12">
    <format dxfId="39">
      <pivotArea type="all" dataOnly="0" outline="0" fieldPosition="0"/>
    </format>
    <format dxfId="38">
      <pivotArea outline="0" collapsedLevelsAreSubtotals="1" fieldPosition="0"/>
    </format>
    <format dxfId="37">
      <pivotArea field="6" type="button" dataOnly="0" labelOnly="1" outline="0" axis="axisRow" fieldPosition="0"/>
    </format>
    <format dxfId="36">
      <pivotArea dataOnly="0" labelOnly="1" fieldPosition="0">
        <references count="1">
          <reference field="6" count="0"/>
        </references>
      </pivotArea>
    </format>
    <format dxfId="35">
      <pivotArea dataOnly="0" labelOnly="1" grandRow="1" outline="0" fieldPosition="0"/>
    </format>
    <format dxfId="34">
      <pivotArea dataOnly="0" labelOnly="1" outline="0" axis="axisValues" fieldPosition="0"/>
    </format>
    <format dxfId="19">
      <pivotArea type="all" dataOnly="0" outline="0" fieldPosition="0"/>
    </format>
    <format dxfId="18">
      <pivotArea outline="0" collapsedLevelsAreSubtotals="1" fieldPosition="0"/>
    </format>
    <format dxfId="17">
      <pivotArea field="6" type="button" dataOnly="0" labelOnly="1" outline="0" axis="axisRow" fieldPosition="0"/>
    </format>
    <format dxfId="16">
      <pivotArea dataOnly="0" labelOnly="1" fieldPosition="0">
        <references count="1">
          <reference field="6" count="0"/>
        </references>
      </pivotArea>
    </format>
    <format dxfId="15">
      <pivotArea dataOnly="0" labelOnly="1" grandRow="1" outline="0" fieldPosition="0"/>
    </format>
    <format dxfId="14">
      <pivotArea dataOnly="0" labelOnly="1" outline="0" axis="axisValues" fieldPosition="0"/>
    </format>
  </format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ADCEAD-6D16-4356-804B-43513A6C4C2D}"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E18" firstHeaderRow="0" firstDataRow="1" firstDataCol="1"/>
  <pivotFields count="17">
    <pivotField dataField="1" showAll="0"/>
    <pivotField showAll="0"/>
    <pivotField showAll="0"/>
    <pivotField showAll="0"/>
    <pivotField axis="axisRow" showAll="0">
      <items count="8">
        <item x="5"/>
        <item x="6"/>
        <item x="3"/>
        <item x="4"/>
        <item x="2"/>
        <item x="1"/>
        <item x="0"/>
        <item t="default"/>
      </items>
    </pivotField>
    <pivotField showAll="0">
      <items count="6">
        <item x="1"/>
        <item x="3"/>
        <item x="2"/>
        <item x="0"/>
        <item x="4"/>
        <item t="default"/>
      </items>
    </pivotField>
    <pivotField showAll="0"/>
    <pivotField showAll="0"/>
    <pivotField showAll="0"/>
    <pivotField showAll="0"/>
    <pivotField dataField="1" showAll="0"/>
    <pivotField showAll="0"/>
    <pivotField dataField="1" showAll="0"/>
    <pivotField dataField="1" showAll="0"/>
    <pivotField showAll="0">
      <items count="4">
        <item x="1"/>
        <item x="0"/>
        <item x="2"/>
        <item t="default"/>
      </items>
    </pivotField>
    <pivotField showAll="0"/>
    <pivotField showAll="0"/>
  </pivotFields>
  <rowFields count="1">
    <field x="4"/>
  </rowFields>
  <rowItems count="8">
    <i>
      <x/>
    </i>
    <i>
      <x v="1"/>
    </i>
    <i>
      <x v="2"/>
    </i>
    <i>
      <x v="3"/>
    </i>
    <i>
      <x v="4"/>
    </i>
    <i>
      <x v="5"/>
    </i>
    <i>
      <x v="6"/>
    </i>
    <i t="grand">
      <x/>
    </i>
  </rowItems>
  <colFields count="1">
    <field x="-2"/>
  </colFields>
  <colItems count="4">
    <i>
      <x/>
    </i>
    <i i="1">
      <x v="1"/>
    </i>
    <i i="2">
      <x v="2"/>
    </i>
    <i i="3">
      <x v="3"/>
    </i>
  </colItems>
  <dataFields count="4">
    <dataField name="Sum of P&amp;L($)" fld="12" baseField="0" baseItem="0"/>
    <dataField name="Count of TRADE ID" fld="0" subtotal="count" baseField="0" baseItem="0"/>
    <dataField name="Average of P&amp;L%" fld="13" subtotal="average" baseField="4" baseItem="0"/>
    <dataField name="Sum of CAPITAL($)" fld="10" baseField="0" baseItem="0"/>
  </dataFields>
  <formats count="12">
    <format dxfId="32">
      <pivotArea type="all" dataOnly="0" outline="0" fieldPosition="0"/>
    </format>
    <format dxfId="31">
      <pivotArea outline="0" collapsedLevelsAreSubtotals="1" fieldPosition="0"/>
    </format>
    <format dxfId="30">
      <pivotArea field="4" type="button" dataOnly="0" labelOnly="1" outline="0" axis="axisRow" fieldPosition="0"/>
    </format>
    <format dxfId="29">
      <pivotArea dataOnly="0" labelOnly="1" fieldPosition="0">
        <references count="1">
          <reference field="4" count="0"/>
        </references>
      </pivotArea>
    </format>
    <format dxfId="28">
      <pivotArea dataOnly="0" labelOnly="1" grandRow="1" outline="0" fieldPosition="0"/>
    </format>
    <format dxfId="27">
      <pivotArea dataOnly="0" labelOnly="1" outline="0" fieldPosition="0">
        <references count="1">
          <reference field="4294967294" count="4">
            <x v="0"/>
            <x v="1"/>
            <x v="2"/>
            <x v="3"/>
          </reference>
        </references>
      </pivotArea>
    </format>
    <format dxfId="12">
      <pivotArea type="all" dataOnly="0" outline="0" fieldPosition="0"/>
    </format>
    <format dxfId="11">
      <pivotArea outline="0" collapsedLevelsAreSubtotals="1" fieldPosition="0"/>
    </format>
    <format dxfId="10">
      <pivotArea field="4" type="button" dataOnly="0" labelOnly="1" outline="0" axis="axisRow" fieldPosition="0"/>
    </format>
    <format dxfId="9">
      <pivotArea dataOnly="0" labelOnly="1" fieldPosition="0">
        <references count="1">
          <reference field="4" count="0"/>
        </references>
      </pivotArea>
    </format>
    <format dxfId="8">
      <pivotArea dataOnly="0" labelOnly="1" grandRow="1" outline="0" fieldPosition="0"/>
    </format>
    <format dxfId="7">
      <pivotArea dataOnly="0" labelOnly="1" outline="0" fieldPosition="0">
        <references count="1">
          <reference field="4294967294" count="4">
            <x v="0"/>
            <x v="1"/>
            <x v="2"/>
            <x v="3"/>
          </reference>
        </references>
      </pivotArea>
    </format>
  </formats>
  <chartFormats count="3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36" series="1">
      <pivotArea type="data" outline="0" fieldPosition="0">
        <references count="1">
          <reference field="4294967294" count="1" selected="0">
            <x v="0"/>
          </reference>
        </references>
      </pivotArea>
    </chartFormat>
    <chartFormat chart="3" format="37">
      <pivotArea type="data" outline="0" fieldPosition="0">
        <references count="2">
          <reference field="4294967294" count="1" selected="0">
            <x v="0"/>
          </reference>
          <reference field="4" count="1" selected="0">
            <x v="0"/>
          </reference>
        </references>
      </pivotArea>
    </chartFormat>
    <chartFormat chart="3" format="38">
      <pivotArea type="data" outline="0" fieldPosition="0">
        <references count="2">
          <reference field="4294967294" count="1" selected="0">
            <x v="0"/>
          </reference>
          <reference field="4" count="1" selected="0">
            <x v="1"/>
          </reference>
        </references>
      </pivotArea>
    </chartFormat>
    <chartFormat chart="3" format="39">
      <pivotArea type="data" outline="0" fieldPosition="0">
        <references count="2">
          <reference field="4294967294" count="1" selected="0">
            <x v="0"/>
          </reference>
          <reference field="4" count="1" selected="0">
            <x v="2"/>
          </reference>
        </references>
      </pivotArea>
    </chartFormat>
    <chartFormat chart="3" format="40">
      <pivotArea type="data" outline="0" fieldPosition="0">
        <references count="2">
          <reference field="4294967294" count="1" selected="0">
            <x v="0"/>
          </reference>
          <reference field="4" count="1" selected="0">
            <x v="3"/>
          </reference>
        </references>
      </pivotArea>
    </chartFormat>
    <chartFormat chart="3" format="41">
      <pivotArea type="data" outline="0" fieldPosition="0">
        <references count="2">
          <reference field="4294967294" count="1" selected="0">
            <x v="0"/>
          </reference>
          <reference field="4" count="1" selected="0">
            <x v="4"/>
          </reference>
        </references>
      </pivotArea>
    </chartFormat>
    <chartFormat chart="3" format="42">
      <pivotArea type="data" outline="0" fieldPosition="0">
        <references count="2">
          <reference field="4294967294" count="1" selected="0">
            <x v="0"/>
          </reference>
          <reference field="4" count="1" selected="0">
            <x v="5"/>
          </reference>
        </references>
      </pivotArea>
    </chartFormat>
    <chartFormat chart="3" format="43">
      <pivotArea type="data" outline="0" fieldPosition="0">
        <references count="2">
          <reference field="4294967294" count="1" selected="0">
            <x v="0"/>
          </reference>
          <reference field="4" count="1" selected="0">
            <x v="6"/>
          </reference>
        </references>
      </pivotArea>
    </chartFormat>
    <chartFormat chart="3" format="44" series="1">
      <pivotArea type="data" outline="0" fieldPosition="0">
        <references count="1">
          <reference field="4294967294" count="1" selected="0">
            <x v="1"/>
          </reference>
        </references>
      </pivotArea>
    </chartFormat>
    <chartFormat chart="3" format="45">
      <pivotArea type="data" outline="0" fieldPosition="0">
        <references count="2">
          <reference field="4294967294" count="1" selected="0">
            <x v="1"/>
          </reference>
          <reference field="4" count="1" selected="0">
            <x v="0"/>
          </reference>
        </references>
      </pivotArea>
    </chartFormat>
    <chartFormat chart="3" format="46">
      <pivotArea type="data" outline="0" fieldPosition="0">
        <references count="2">
          <reference field="4294967294" count="1" selected="0">
            <x v="1"/>
          </reference>
          <reference field="4" count="1" selected="0">
            <x v="1"/>
          </reference>
        </references>
      </pivotArea>
    </chartFormat>
    <chartFormat chart="3" format="47">
      <pivotArea type="data" outline="0" fieldPosition="0">
        <references count="2">
          <reference field="4294967294" count="1" selected="0">
            <x v="1"/>
          </reference>
          <reference field="4" count="1" selected="0">
            <x v="2"/>
          </reference>
        </references>
      </pivotArea>
    </chartFormat>
    <chartFormat chart="3" format="48">
      <pivotArea type="data" outline="0" fieldPosition="0">
        <references count="2">
          <reference field="4294967294" count="1" selected="0">
            <x v="1"/>
          </reference>
          <reference field="4" count="1" selected="0">
            <x v="3"/>
          </reference>
        </references>
      </pivotArea>
    </chartFormat>
    <chartFormat chart="3" format="49">
      <pivotArea type="data" outline="0" fieldPosition="0">
        <references count="2">
          <reference field="4294967294" count="1" selected="0">
            <x v="1"/>
          </reference>
          <reference field="4" count="1" selected="0">
            <x v="4"/>
          </reference>
        </references>
      </pivotArea>
    </chartFormat>
    <chartFormat chart="3" format="50">
      <pivotArea type="data" outline="0" fieldPosition="0">
        <references count="2">
          <reference field="4294967294" count="1" selected="0">
            <x v="1"/>
          </reference>
          <reference field="4" count="1" selected="0">
            <x v="5"/>
          </reference>
        </references>
      </pivotArea>
    </chartFormat>
    <chartFormat chart="3" format="51">
      <pivotArea type="data" outline="0" fieldPosition="0">
        <references count="2">
          <reference field="4294967294" count="1" selected="0">
            <x v="1"/>
          </reference>
          <reference field="4" count="1" selected="0">
            <x v="6"/>
          </reference>
        </references>
      </pivotArea>
    </chartFormat>
    <chartFormat chart="3" format="52" series="1">
      <pivotArea type="data" outline="0" fieldPosition="0">
        <references count="1">
          <reference field="4294967294" count="1" selected="0">
            <x v="2"/>
          </reference>
        </references>
      </pivotArea>
    </chartFormat>
    <chartFormat chart="3" format="53">
      <pivotArea type="data" outline="0" fieldPosition="0">
        <references count="2">
          <reference field="4294967294" count="1" selected="0">
            <x v="2"/>
          </reference>
          <reference field="4" count="1" selected="0">
            <x v="0"/>
          </reference>
        </references>
      </pivotArea>
    </chartFormat>
    <chartFormat chart="3" format="54">
      <pivotArea type="data" outline="0" fieldPosition="0">
        <references count="2">
          <reference field="4294967294" count="1" selected="0">
            <x v="2"/>
          </reference>
          <reference field="4" count="1" selected="0">
            <x v="1"/>
          </reference>
        </references>
      </pivotArea>
    </chartFormat>
    <chartFormat chart="3" format="55">
      <pivotArea type="data" outline="0" fieldPosition="0">
        <references count="2">
          <reference field="4294967294" count="1" selected="0">
            <x v="2"/>
          </reference>
          <reference field="4" count="1" selected="0">
            <x v="2"/>
          </reference>
        </references>
      </pivotArea>
    </chartFormat>
    <chartFormat chart="3" format="56">
      <pivotArea type="data" outline="0" fieldPosition="0">
        <references count="2">
          <reference field="4294967294" count="1" selected="0">
            <x v="2"/>
          </reference>
          <reference field="4" count="1" selected="0">
            <x v="3"/>
          </reference>
        </references>
      </pivotArea>
    </chartFormat>
    <chartFormat chart="3" format="57">
      <pivotArea type="data" outline="0" fieldPosition="0">
        <references count="2">
          <reference field="4294967294" count="1" selected="0">
            <x v="2"/>
          </reference>
          <reference field="4" count="1" selected="0">
            <x v="4"/>
          </reference>
        </references>
      </pivotArea>
    </chartFormat>
    <chartFormat chart="3" format="58">
      <pivotArea type="data" outline="0" fieldPosition="0">
        <references count="2">
          <reference field="4294967294" count="1" selected="0">
            <x v="2"/>
          </reference>
          <reference field="4" count="1" selected="0">
            <x v="5"/>
          </reference>
        </references>
      </pivotArea>
    </chartFormat>
    <chartFormat chart="3" format="59">
      <pivotArea type="data" outline="0" fieldPosition="0">
        <references count="2">
          <reference field="4294967294" count="1" selected="0">
            <x v="2"/>
          </reference>
          <reference field="4" count="1" selected="0">
            <x v="6"/>
          </reference>
        </references>
      </pivotArea>
    </chartFormat>
    <chartFormat chart="3" format="60" series="1">
      <pivotArea type="data" outline="0" fieldPosition="0">
        <references count="1">
          <reference field="4294967294" count="1" selected="0">
            <x v="3"/>
          </reference>
        </references>
      </pivotArea>
    </chartFormat>
    <chartFormat chart="3" format="61">
      <pivotArea type="data" outline="0" fieldPosition="0">
        <references count="2">
          <reference field="4294967294" count="1" selected="0">
            <x v="3"/>
          </reference>
          <reference field="4" count="1" selected="0">
            <x v="0"/>
          </reference>
        </references>
      </pivotArea>
    </chartFormat>
    <chartFormat chart="3" format="62">
      <pivotArea type="data" outline="0" fieldPosition="0">
        <references count="2">
          <reference field="4294967294" count="1" selected="0">
            <x v="3"/>
          </reference>
          <reference field="4" count="1" selected="0">
            <x v="1"/>
          </reference>
        </references>
      </pivotArea>
    </chartFormat>
    <chartFormat chart="3" format="63">
      <pivotArea type="data" outline="0" fieldPosition="0">
        <references count="2">
          <reference field="4294967294" count="1" selected="0">
            <x v="3"/>
          </reference>
          <reference field="4" count="1" selected="0">
            <x v="2"/>
          </reference>
        </references>
      </pivotArea>
    </chartFormat>
    <chartFormat chart="3" format="64">
      <pivotArea type="data" outline="0" fieldPosition="0">
        <references count="2">
          <reference field="4294967294" count="1" selected="0">
            <x v="3"/>
          </reference>
          <reference field="4" count="1" selected="0">
            <x v="3"/>
          </reference>
        </references>
      </pivotArea>
    </chartFormat>
    <chartFormat chart="3" format="65">
      <pivotArea type="data" outline="0" fieldPosition="0">
        <references count="2">
          <reference field="4294967294" count="1" selected="0">
            <x v="3"/>
          </reference>
          <reference field="4" count="1" selected="0">
            <x v="4"/>
          </reference>
        </references>
      </pivotArea>
    </chartFormat>
    <chartFormat chart="3" format="66">
      <pivotArea type="data" outline="0" fieldPosition="0">
        <references count="2">
          <reference field="4294967294" count="1" selected="0">
            <x v="3"/>
          </reference>
          <reference field="4" count="1" selected="0">
            <x v="5"/>
          </reference>
        </references>
      </pivotArea>
    </chartFormat>
    <chartFormat chart="3" format="67">
      <pivotArea type="data" outline="0" fieldPosition="0">
        <references count="2">
          <reference field="4294967294" count="1" selected="0">
            <x v="3"/>
          </reference>
          <reference field="4" count="1" selected="0">
            <x v="6"/>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521DB6-F1E2-489A-BF62-B3CDFEAFB070}"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7" firstHeaderRow="1" firstDataRow="1" firstDataCol="1"/>
  <pivotFields count="17">
    <pivotField showAll="0"/>
    <pivotField showAll="0"/>
    <pivotField showAll="0"/>
    <pivotField showAll="0"/>
    <pivotField showAll="0">
      <items count="8">
        <item x="5"/>
        <item x="6"/>
        <item x="3"/>
        <item x="4"/>
        <item x="2"/>
        <item x="1"/>
        <item x="0"/>
        <item t="default"/>
      </items>
    </pivotField>
    <pivotField axis="axisRow" showAll="0">
      <items count="6">
        <item x="1"/>
        <item x="3"/>
        <item x="2"/>
        <item x="0"/>
        <item x="4"/>
        <item t="default"/>
      </items>
    </pivotField>
    <pivotField showAll="0"/>
    <pivotField showAll="0"/>
    <pivotField showAll="0"/>
    <pivotField showAll="0"/>
    <pivotField showAll="0"/>
    <pivotField showAll="0"/>
    <pivotField dataField="1" showAll="0"/>
    <pivotField showAll="0"/>
    <pivotField showAll="0">
      <items count="4">
        <item x="1"/>
        <item x="0"/>
        <item x="2"/>
        <item t="default"/>
      </items>
    </pivotField>
    <pivotField showAll="0"/>
    <pivotField showAll="0"/>
  </pivotFields>
  <rowFields count="1">
    <field x="5"/>
  </rowFields>
  <rowItems count="6">
    <i>
      <x/>
    </i>
    <i>
      <x v="1"/>
    </i>
    <i>
      <x v="2"/>
    </i>
    <i>
      <x v="3"/>
    </i>
    <i>
      <x v="4"/>
    </i>
    <i t="grand">
      <x/>
    </i>
  </rowItems>
  <colItems count="1">
    <i/>
  </colItems>
  <dataFields count="1">
    <dataField name="Sum of P&amp;L($)" fld="12" baseField="0" baseItem="0"/>
  </dataFields>
  <formats count="12">
    <format dxfId="26">
      <pivotArea type="all" dataOnly="0" outline="0" fieldPosition="0"/>
    </format>
    <format dxfId="25">
      <pivotArea outline="0" collapsedLevelsAreSubtotals="1" fieldPosition="0"/>
    </format>
    <format dxfId="24">
      <pivotArea field="5" type="button" dataOnly="0" labelOnly="1" outline="0" axis="axisRow" fieldPosition="0"/>
    </format>
    <format dxfId="23">
      <pivotArea dataOnly="0" labelOnly="1" fieldPosition="0">
        <references count="1">
          <reference field="5" count="0"/>
        </references>
      </pivotArea>
    </format>
    <format dxfId="22">
      <pivotArea dataOnly="0" labelOnly="1" grandRow="1" outline="0" fieldPosition="0"/>
    </format>
    <format dxfId="21">
      <pivotArea dataOnly="0" labelOnly="1" outline="0" axis="axisValues" fieldPosition="0"/>
    </format>
    <format dxfId="6">
      <pivotArea type="all" dataOnly="0" outline="0" fieldPosition="0"/>
    </format>
    <format dxfId="5">
      <pivotArea outline="0" collapsedLevelsAreSubtotals="1" fieldPosition="0"/>
    </format>
    <format dxfId="4">
      <pivotArea field="5" type="button" dataOnly="0" labelOnly="1" outline="0" axis="axisRow" fieldPosition="0"/>
    </format>
    <format dxfId="3">
      <pivotArea dataOnly="0" labelOnly="1" fieldPosition="0">
        <references count="1">
          <reference field="5" count="0"/>
        </references>
      </pivotArea>
    </format>
    <format dxfId="2">
      <pivotArea dataOnly="0" labelOnly="1" grandRow="1" outline="0" fieldPosition="0"/>
    </format>
    <format dxfId="1">
      <pivotArea dataOnly="0" labelOnly="1" outline="0" axis="axisValues" fieldPosition="0"/>
    </format>
  </formats>
  <chartFormats count="2">
    <chartFormat chart="0"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B5FCE48-5C80-451B-9429-384508D83616}" sourceName="SECTOR">
  <pivotTables>
    <pivotTable tabId="10" name="PivotTable1"/>
    <pivotTable tabId="10" name="PivotTable2"/>
    <pivotTable tabId="10" name="PivotTable3"/>
  </pivotTables>
  <data>
    <tabular pivotCacheId="1220235370">
      <items count="7">
        <i x="5" s="1"/>
        <i x="6" s="1"/>
        <i x="3" s="1"/>
        <i x="4"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43D1F1D1-E87B-42F0-BD84-20DEA812ED36}" sourceName="MANAGER">
  <pivotTables>
    <pivotTable tabId="10" name="PivotTable1"/>
    <pivotTable tabId="10" name="PivotTable2"/>
    <pivotTable tabId="10" name="PivotTable3"/>
  </pivotTables>
  <data>
    <tabular pivotCacheId="1220235370">
      <items count="5">
        <i x="1" s="1"/>
        <i x="3"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 xr10:uid="{E46A6A79-1B39-423C-8B60-43330F6BFC8E}" sourceName="RISK">
  <pivotTables>
    <pivotTable tabId="10" name="PivotTable1"/>
    <pivotTable tabId="10" name="PivotTable2"/>
    <pivotTable tabId="10" name="PivotTable3"/>
  </pivotTables>
  <data>
    <tabular pivotCacheId="122023537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BEC8DB74-C0CD-415D-91A2-9AF764E0E9D4}" cache="Slicer_SECTOR" caption="SECTOR" rowHeight="241300"/>
  <slicer name="MANAGER" xr10:uid="{37E63674-FD85-49BD-8E70-D6CC91894F2C}" cache="Slicer_MANAGER" caption="MANAGER" rowHeight="241300"/>
  <slicer name="RISK" xr10:uid="{55E260B5-58EF-4C87-99FC-4EFCEEFDA6F2}" cache="Slicer_RISK" caption="RISK"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6600"/>
  </sheetPr>
  <dimension ref="A1:Q804"/>
  <sheetViews>
    <sheetView showGridLines="0" workbookViewId="0">
      <pane ySplit="2" topLeftCell="A3" activePane="bottomLeft" state="frozen"/>
      <selection pane="bottomLeft" activeCell="D793" sqref="D793"/>
    </sheetView>
  </sheetViews>
  <sheetFormatPr defaultRowHeight="14.5" x14ac:dyDescent="0.35"/>
  <cols>
    <col min="1" max="2" width="11" customWidth="1"/>
    <col min="3" max="3" width="7" customWidth="1"/>
    <col min="4" max="4" width="18" customWidth="1"/>
    <col min="5" max="5" width="13" customWidth="1"/>
    <col min="6" max="6" width="11" customWidth="1"/>
    <col min="7" max="7" width="10" customWidth="1"/>
    <col min="8" max="9" width="9" customWidth="1"/>
    <col min="10" max="10" width="7" customWidth="1"/>
    <col min="11" max="12" width="14" customWidth="1"/>
    <col min="13" max="13" width="12" customWidth="1"/>
    <col min="14" max="14" width="7" customWidth="1"/>
    <col min="15" max="15" width="6" customWidth="1"/>
    <col min="16" max="16" width="7" customWidth="1"/>
    <col min="17" max="17" width="6" customWidth="1"/>
  </cols>
  <sheetData>
    <row r="1" spans="1:17" ht="28" customHeight="1" x14ac:dyDescent="0.35">
      <c r="A1" s="50" t="s">
        <v>0</v>
      </c>
      <c r="B1" s="51"/>
      <c r="C1" s="51"/>
      <c r="D1" s="51"/>
      <c r="E1" s="51"/>
      <c r="F1" s="51"/>
      <c r="G1" s="51"/>
      <c r="H1" s="51"/>
      <c r="I1" s="51"/>
      <c r="J1" s="51"/>
      <c r="K1" s="51"/>
      <c r="L1" s="51"/>
      <c r="M1" s="51"/>
      <c r="N1" s="51"/>
      <c r="O1" s="51"/>
      <c r="P1" s="51"/>
      <c r="Q1" s="51"/>
    </row>
    <row r="2" spans="1:17" ht="20" customHeight="1" x14ac:dyDescent="0.35">
      <c r="A2" s="1" t="s">
        <v>1</v>
      </c>
      <c r="B2" s="2" t="s">
        <v>2</v>
      </c>
      <c r="C2" s="3" t="s">
        <v>3</v>
      </c>
      <c r="D2" s="4" t="s">
        <v>4</v>
      </c>
      <c r="E2" s="5" t="s">
        <v>5</v>
      </c>
      <c r="F2" s="6" t="s">
        <v>6</v>
      </c>
      <c r="G2" s="7" t="s">
        <v>7</v>
      </c>
      <c r="H2" s="8" t="s">
        <v>8</v>
      </c>
      <c r="I2" s="8" t="s">
        <v>9</v>
      </c>
      <c r="J2" s="4" t="s">
        <v>10</v>
      </c>
      <c r="K2" s="1" t="s">
        <v>11</v>
      </c>
      <c r="L2" s="9" t="s">
        <v>12</v>
      </c>
      <c r="M2" s="9" t="s">
        <v>13</v>
      </c>
      <c r="N2" s="9" t="s">
        <v>14</v>
      </c>
      <c r="O2" s="10" t="s">
        <v>15</v>
      </c>
      <c r="P2" s="11" t="s">
        <v>16</v>
      </c>
      <c r="Q2" s="11" t="s">
        <v>17</v>
      </c>
    </row>
    <row r="3" spans="1:17" x14ac:dyDescent="0.35">
      <c r="A3" s="12" t="s">
        <v>18</v>
      </c>
      <c r="B3" s="12" t="s">
        <v>19</v>
      </c>
      <c r="C3" s="13" t="s">
        <v>20</v>
      </c>
      <c r="D3" s="12" t="s">
        <v>21</v>
      </c>
      <c r="E3" s="14" t="s">
        <v>22</v>
      </c>
      <c r="F3" s="15" t="s">
        <v>23</v>
      </c>
      <c r="G3" s="12" t="s">
        <v>24</v>
      </c>
      <c r="H3" s="12">
        <v>535.12</v>
      </c>
      <c r="I3" s="12">
        <v>509.3</v>
      </c>
      <c r="J3" s="12">
        <v>1928</v>
      </c>
      <c r="K3" s="12">
        <v>1031711.36</v>
      </c>
      <c r="L3" s="12">
        <v>981930.4</v>
      </c>
      <c r="M3" s="16">
        <v>-49780.959999999999</v>
      </c>
      <c r="N3" s="16">
        <v>-4.83</v>
      </c>
      <c r="O3" s="17" t="s">
        <v>25</v>
      </c>
      <c r="P3" s="12">
        <v>0.4385</v>
      </c>
      <c r="Q3" s="12">
        <v>1.25</v>
      </c>
    </row>
    <row r="4" spans="1:17" x14ac:dyDescent="0.35">
      <c r="A4" s="18" t="s">
        <v>26</v>
      </c>
      <c r="B4" s="18" t="s">
        <v>27</v>
      </c>
      <c r="C4" s="19" t="s">
        <v>28</v>
      </c>
      <c r="D4" s="18" t="s">
        <v>29</v>
      </c>
      <c r="E4" s="20" t="s">
        <v>30</v>
      </c>
      <c r="F4" s="21" t="s">
        <v>31</v>
      </c>
      <c r="G4" s="18" t="s">
        <v>32</v>
      </c>
      <c r="H4" s="18">
        <v>219.74</v>
      </c>
      <c r="I4" s="18">
        <v>271.10000000000002</v>
      </c>
      <c r="J4" s="18">
        <v>867</v>
      </c>
      <c r="K4" s="18">
        <v>190514.58</v>
      </c>
      <c r="L4" s="18">
        <v>235043.7</v>
      </c>
      <c r="M4" s="22">
        <v>44529.120000000003</v>
      </c>
      <c r="N4" s="22">
        <v>23.37</v>
      </c>
      <c r="O4" s="23" t="s">
        <v>33</v>
      </c>
      <c r="P4" s="18">
        <v>0.13139999999999999</v>
      </c>
      <c r="Q4" s="18">
        <v>0.84</v>
      </c>
    </row>
    <row r="5" spans="1:17" x14ac:dyDescent="0.35">
      <c r="A5" s="12" t="s">
        <v>34</v>
      </c>
      <c r="B5" s="12" t="s">
        <v>35</v>
      </c>
      <c r="C5" s="13" t="s">
        <v>36</v>
      </c>
      <c r="D5" s="12" t="s">
        <v>37</v>
      </c>
      <c r="E5" s="14" t="s">
        <v>30</v>
      </c>
      <c r="F5" s="15" t="s">
        <v>38</v>
      </c>
      <c r="G5" s="12" t="s">
        <v>39</v>
      </c>
      <c r="H5" s="12">
        <v>196.03</v>
      </c>
      <c r="I5" s="12">
        <v>199.93</v>
      </c>
      <c r="J5" s="12">
        <v>4927</v>
      </c>
      <c r="K5" s="12">
        <v>965839.81</v>
      </c>
      <c r="L5" s="12">
        <v>985055.11</v>
      </c>
      <c r="M5" s="17">
        <v>19215.3</v>
      </c>
      <c r="N5" s="17">
        <v>1.99</v>
      </c>
      <c r="O5" s="17" t="s">
        <v>25</v>
      </c>
      <c r="P5" s="12">
        <v>0.44629999999999997</v>
      </c>
      <c r="Q5" s="12">
        <v>0.79</v>
      </c>
    </row>
    <row r="6" spans="1:17" x14ac:dyDescent="0.35">
      <c r="A6" s="18" t="s">
        <v>40</v>
      </c>
      <c r="B6" s="18" t="s">
        <v>41</v>
      </c>
      <c r="C6" s="19" t="s">
        <v>42</v>
      </c>
      <c r="D6" s="18" t="s">
        <v>43</v>
      </c>
      <c r="E6" s="20" t="s">
        <v>44</v>
      </c>
      <c r="F6" s="21" t="s">
        <v>23</v>
      </c>
      <c r="G6" s="18" t="s">
        <v>24</v>
      </c>
      <c r="H6" s="18">
        <v>625.44000000000005</v>
      </c>
      <c r="I6" s="18">
        <v>697.75</v>
      </c>
      <c r="J6" s="18">
        <v>1863</v>
      </c>
      <c r="K6" s="18">
        <v>1165194.72</v>
      </c>
      <c r="L6" s="18">
        <v>1299908.25</v>
      </c>
      <c r="M6" s="22">
        <v>134713.53</v>
      </c>
      <c r="N6" s="22">
        <v>11.56</v>
      </c>
      <c r="O6" s="24" t="s">
        <v>45</v>
      </c>
      <c r="P6" s="18">
        <v>0.15989999999999999</v>
      </c>
      <c r="Q6" s="18">
        <v>0.72</v>
      </c>
    </row>
    <row r="7" spans="1:17" x14ac:dyDescent="0.35">
      <c r="A7" s="12" t="s">
        <v>46</v>
      </c>
      <c r="B7" s="12" t="s">
        <v>47</v>
      </c>
      <c r="C7" s="13" t="s">
        <v>48</v>
      </c>
      <c r="D7" s="12" t="s">
        <v>49</v>
      </c>
      <c r="E7" s="14" t="s">
        <v>50</v>
      </c>
      <c r="F7" s="15" t="s">
        <v>31</v>
      </c>
      <c r="G7" s="12" t="s">
        <v>24</v>
      </c>
      <c r="H7" s="12">
        <v>65.709999999999994</v>
      </c>
      <c r="I7" s="12">
        <v>102.59</v>
      </c>
      <c r="J7" s="12">
        <v>3863</v>
      </c>
      <c r="K7" s="12">
        <v>253837.73</v>
      </c>
      <c r="L7" s="12">
        <v>396305.17</v>
      </c>
      <c r="M7" s="17">
        <v>142467.44</v>
      </c>
      <c r="N7" s="17">
        <v>56.13</v>
      </c>
      <c r="O7" s="16" t="s">
        <v>33</v>
      </c>
      <c r="P7" s="12">
        <v>0.2828</v>
      </c>
      <c r="Q7" s="12">
        <v>1.26</v>
      </c>
    </row>
    <row r="8" spans="1:17" x14ac:dyDescent="0.35">
      <c r="A8" s="18" t="s">
        <v>51</v>
      </c>
      <c r="B8" s="18" t="s">
        <v>52</v>
      </c>
      <c r="C8" s="19" t="s">
        <v>53</v>
      </c>
      <c r="D8" s="18" t="s">
        <v>54</v>
      </c>
      <c r="E8" s="20" t="s">
        <v>55</v>
      </c>
      <c r="F8" s="21" t="s">
        <v>31</v>
      </c>
      <c r="G8" s="18" t="s">
        <v>39</v>
      </c>
      <c r="H8" s="18">
        <v>94.35</v>
      </c>
      <c r="I8" s="18">
        <v>92.05</v>
      </c>
      <c r="J8" s="18">
        <v>475</v>
      </c>
      <c r="K8" s="18">
        <v>44816.25</v>
      </c>
      <c r="L8" s="18">
        <v>43723.75</v>
      </c>
      <c r="M8" s="23">
        <v>-1092.5</v>
      </c>
      <c r="N8" s="23">
        <v>-2.44</v>
      </c>
      <c r="O8" s="22" t="s">
        <v>25</v>
      </c>
      <c r="P8" s="18">
        <v>0.54359999999999997</v>
      </c>
      <c r="Q8" s="18">
        <v>1.63</v>
      </c>
    </row>
    <row r="9" spans="1:17" x14ac:dyDescent="0.35">
      <c r="A9" s="12" t="s">
        <v>56</v>
      </c>
      <c r="B9" s="12" t="s">
        <v>57</v>
      </c>
      <c r="C9" s="13" t="s">
        <v>20</v>
      </c>
      <c r="D9" s="12" t="s">
        <v>21</v>
      </c>
      <c r="E9" s="14" t="s">
        <v>22</v>
      </c>
      <c r="F9" s="15" t="s">
        <v>38</v>
      </c>
      <c r="G9" s="12" t="s">
        <v>24</v>
      </c>
      <c r="H9" s="12">
        <v>539.28</v>
      </c>
      <c r="I9" s="12">
        <v>608.67999999999995</v>
      </c>
      <c r="J9" s="12">
        <v>3088</v>
      </c>
      <c r="K9" s="12">
        <v>1665296.64</v>
      </c>
      <c r="L9" s="12">
        <v>1879603.84</v>
      </c>
      <c r="M9" s="17">
        <v>214307.20000000001</v>
      </c>
      <c r="N9" s="17">
        <v>12.87</v>
      </c>
      <c r="O9" s="25" t="s">
        <v>45</v>
      </c>
      <c r="P9" s="12">
        <v>0.40820000000000001</v>
      </c>
      <c r="Q9" s="12">
        <v>1.44</v>
      </c>
    </row>
    <row r="10" spans="1:17" x14ac:dyDescent="0.35">
      <c r="A10" s="18" t="s">
        <v>58</v>
      </c>
      <c r="B10" s="18" t="s">
        <v>59</v>
      </c>
      <c r="C10" s="19" t="s">
        <v>60</v>
      </c>
      <c r="D10" s="18" t="s">
        <v>61</v>
      </c>
      <c r="E10" s="20" t="s">
        <v>22</v>
      </c>
      <c r="F10" s="21" t="s">
        <v>62</v>
      </c>
      <c r="G10" s="18" t="s">
        <v>32</v>
      </c>
      <c r="H10" s="18">
        <v>125.86</v>
      </c>
      <c r="I10" s="18">
        <v>144.19</v>
      </c>
      <c r="J10" s="18">
        <v>2105</v>
      </c>
      <c r="K10" s="18">
        <v>264935.3</v>
      </c>
      <c r="L10" s="18">
        <v>303519.95</v>
      </c>
      <c r="M10" s="22">
        <v>38584.65</v>
      </c>
      <c r="N10" s="22">
        <v>14.56</v>
      </c>
      <c r="O10" s="24" t="s">
        <v>45</v>
      </c>
      <c r="P10" s="18">
        <v>0.54549999999999998</v>
      </c>
      <c r="Q10" s="18">
        <v>1.37</v>
      </c>
    </row>
    <row r="11" spans="1:17" x14ac:dyDescent="0.35">
      <c r="A11" s="12" t="s">
        <v>63</v>
      </c>
      <c r="B11" s="12" t="s">
        <v>64</v>
      </c>
      <c r="C11" s="13" t="s">
        <v>36</v>
      </c>
      <c r="D11" s="12" t="s">
        <v>37</v>
      </c>
      <c r="E11" s="14" t="s">
        <v>30</v>
      </c>
      <c r="F11" s="15" t="s">
        <v>31</v>
      </c>
      <c r="G11" s="12" t="s">
        <v>65</v>
      </c>
      <c r="H11" s="12">
        <v>230.27</v>
      </c>
      <c r="I11" s="12">
        <v>332.4</v>
      </c>
      <c r="J11" s="12">
        <v>1976</v>
      </c>
      <c r="K11" s="12">
        <v>455013.52</v>
      </c>
      <c r="L11" s="12">
        <v>656822.4</v>
      </c>
      <c r="M11" s="17">
        <v>201808.88</v>
      </c>
      <c r="N11" s="17">
        <v>44.35</v>
      </c>
      <c r="O11" s="16" t="s">
        <v>33</v>
      </c>
      <c r="P11" s="12">
        <v>0.29249999999999998</v>
      </c>
      <c r="Q11" s="12">
        <v>0.68</v>
      </c>
    </row>
    <row r="12" spans="1:17" x14ac:dyDescent="0.35">
      <c r="A12" s="18" t="s">
        <v>66</v>
      </c>
      <c r="B12" s="18" t="s">
        <v>67</v>
      </c>
      <c r="C12" s="19" t="s">
        <v>28</v>
      </c>
      <c r="D12" s="18" t="s">
        <v>29</v>
      </c>
      <c r="E12" s="20" t="s">
        <v>30</v>
      </c>
      <c r="F12" s="21" t="s">
        <v>38</v>
      </c>
      <c r="G12" s="18" t="s">
        <v>39</v>
      </c>
      <c r="H12" s="18">
        <v>267.7</v>
      </c>
      <c r="I12" s="18">
        <v>245.14</v>
      </c>
      <c r="J12" s="18">
        <v>3341</v>
      </c>
      <c r="K12" s="18">
        <v>894385.7</v>
      </c>
      <c r="L12" s="18">
        <v>819012.74</v>
      </c>
      <c r="M12" s="23">
        <v>-75372.960000000006</v>
      </c>
      <c r="N12" s="23">
        <v>-8.43</v>
      </c>
      <c r="O12" s="24" t="s">
        <v>45</v>
      </c>
      <c r="P12" s="18">
        <v>0.18140000000000001</v>
      </c>
      <c r="Q12" s="18">
        <v>0.77</v>
      </c>
    </row>
    <row r="13" spans="1:17" x14ac:dyDescent="0.35">
      <c r="A13" s="12" t="s">
        <v>68</v>
      </c>
      <c r="B13" s="12" t="s">
        <v>69</v>
      </c>
      <c r="C13" s="13" t="s">
        <v>36</v>
      </c>
      <c r="D13" s="12" t="s">
        <v>37</v>
      </c>
      <c r="E13" s="14" t="s">
        <v>30</v>
      </c>
      <c r="F13" s="15" t="s">
        <v>62</v>
      </c>
      <c r="G13" s="12" t="s">
        <v>24</v>
      </c>
      <c r="H13" s="12">
        <v>235.06</v>
      </c>
      <c r="I13" s="12">
        <v>272.57</v>
      </c>
      <c r="J13" s="12">
        <v>3609</v>
      </c>
      <c r="K13" s="12">
        <v>848331.54</v>
      </c>
      <c r="L13" s="12">
        <v>983705.13</v>
      </c>
      <c r="M13" s="17">
        <v>135373.59</v>
      </c>
      <c r="N13" s="17">
        <v>15.96</v>
      </c>
      <c r="O13" s="25" t="s">
        <v>45</v>
      </c>
      <c r="P13" s="12">
        <v>0.21429999999999999</v>
      </c>
      <c r="Q13" s="12">
        <v>1.8</v>
      </c>
    </row>
    <row r="14" spans="1:17" x14ac:dyDescent="0.35">
      <c r="A14" s="18" t="s">
        <v>70</v>
      </c>
      <c r="B14" s="18" t="s">
        <v>71</v>
      </c>
      <c r="C14" s="19" t="s">
        <v>72</v>
      </c>
      <c r="D14" s="18" t="s">
        <v>73</v>
      </c>
      <c r="E14" s="20" t="s">
        <v>74</v>
      </c>
      <c r="F14" s="21" t="s">
        <v>31</v>
      </c>
      <c r="G14" s="18" t="s">
        <v>32</v>
      </c>
      <c r="H14" s="18">
        <v>403.13</v>
      </c>
      <c r="I14" s="18">
        <v>399.9</v>
      </c>
      <c r="J14" s="18">
        <v>998</v>
      </c>
      <c r="K14" s="18">
        <v>402323.74</v>
      </c>
      <c r="L14" s="18">
        <v>399100.2</v>
      </c>
      <c r="M14" s="23">
        <v>-3223.54</v>
      </c>
      <c r="N14" s="23">
        <v>-0.8</v>
      </c>
      <c r="O14" s="22" t="s">
        <v>25</v>
      </c>
      <c r="P14" s="18">
        <v>0.41260000000000002</v>
      </c>
      <c r="Q14" s="18">
        <v>1.32</v>
      </c>
    </row>
    <row r="15" spans="1:17" x14ac:dyDescent="0.35">
      <c r="A15" s="12" t="s">
        <v>75</v>
      </c>
      <c r="B15" s="12" t="s">
        <v>76</v>
      </c>
      <c r="C15" s="13" t="s">
        <v>77</v>
      </c>
      <c r="D15" s="12" t="s">
        <v>78</v>
      </c>
      <c r="E15" s="14" t="s">
        <v>44</v>
      </c>
      <c r="F15" s="15" t="s">
        <v>62</v>
      </c>
      <c r="G15" s="12" t="s">
        <v>39</v>
      </c>
      <c r="H15" s="12">
        <v>188.32</v>
      </c>
      <c r="I15" s="12">
        <v>191.33</v>
      </c>
      <c r="J15" s="12">
        <v>2159</v>
      </c>
      <c r="K15" s="12">
        <v>406582.88</v>
      </c>
      <c r="L15" s="12">
        <v>413081.47</v>
      </c>
      <c r="M15" s="17">
        <v>6498.59</v>
      </c>
      <c r="N15" s="17">
        <v>1.6</v>
      </c>
      <c r="O15" s="17" t="s">
        <v>25</v>
      </c>
      <c r="P15" s="12">
        <v>0.1249</v>
      </c>
      <c r="Q15" s="12">
        <v>1.46</v>
      </c>
    </row>
    <row r="16" spans="1:17" x14ac:dyDescent="0.35">
      <c r="A16" s="18" t="s">
        <v>79</v>
      </c>
      <c r="B16" s="18" t="s">
        <v>80</v>
      </c>
      <c r="C16" s="19" t="s">
        <v>36</v>
      </c>
      <c r="D16" s="18" t="s">
        <v>37</v>
      </c>
      <c r="E16" s="20" t="s">
        <v>30</v>
      </c>
      <c r="F16" s="21" t="s">
        <v>31</v>
      </c>
      <c r="G16" s="18" t="s">
        <v>65</v>
      </c>
      <c r="H16" s="18">
        <v>205.89</v>
      </c>
      <c r="I16" s="18">
        <v>246.58</v>
      </c>
      <c r="J16" s="18">
        <v>2504</v>
      </c>
      <c r="K16" s="18">
        <v>515548.56</v>
      </c>
      <c r="L16" s="18">
        <v>617436.31999999995</v>
      </c>
      <c r="M16" s="22">
        <v>101887.76</v>
      </c>
      <c r="N16" s="22">
        <v>19.760000000000002</v>
      </c>
      <c r="O16" s="24" t="s">
        <v>45</v>
      </c>
      <c r="P16" s="18">
        <v>0.53010000000000002</v>
      </c>
      <c r="Q16" s="18">
        <v>1.65</v>
      </c>
    </row>
    <row r="17" spans="1:17" x14ac:dyDescent="0.35">
      <c r="A17" s="12" t="s">
        <v>81</v>
      </c>
      <c r="B17" s="12" t="s">
        <v>82</v>
      </c>
      <c r="C17" s="13" t="s">
        <v>83</v>
      </c>
      <c r="D17" s="12" t="s">
        <v>84</v>
      </c>
      <c r="E17" s="14" t="s">
        <v>55</v>
      </c>
      <c r="F17" s="15" t="s">
        <v>62</v>
      </c>
      <c r="G17" s="12" t="s">
        <v>32</v>
      </c>
      <c r="H17" s="12">
        <v>422.24</v>
      </c>
      <c r="I17" s="12">
        <v>459.78</v>
      </c>
      <c r="J17" s="12">
        <v>971</v>
      </c>
      <c r="K17" s="12">
        <v>409995.04</v>
      </c>
      <c r="L17" s="12">
        <v>446446.38</v>
      </c>
      <c r="M17" s="17">
        <v>36451.339999999997</v>
      </c>
      <c r="N17" s="17">
        <v>8.89</v>
      </c>
      <c r="O17" s="25" t="s">
        <v>45</v>
      </c>
      <c r="P17" s="12">
        <v>0.3947</v>
      </c>
      <c r="Q17" s="12">
        <v>1.33</v>
      </c>
    </row>
    <row r="18" spans="1:17" x14ac:dyDescent="0.35">
      <c r="A18" s="18" t="s">
        <v>85</v>
      </c>
      <c r="B18" s="18" t="s">
        <v>86</v>
      </c>
      <c r="C18" s="19" t="s">
        <v>87</v>
      </c>
      <c r="D18" s="18" t="s">
        <v>88</v>
      </c>
      <c r="E18" s="20" t="s">
        <v>22</v>
      </c>
      <c r="F18" s="21" t="s">
        <v>62</v>
      </c>
      <c r="G18" s="18" t="s">
        <v>32</v>
      </c>
      <c r="H18" s="18">
        <v>393.94</v>
      </c>
      <c r="I18" s="18">
        <v>511.83</v>
      </c>
      <c r="J18" s="18">
        <v>4444</v>
      </c>
      <c r="K18" s="18">
        <v>1750669.36</v>
      </c>
      <c r="L18" s="18">
        <v>2274572.52</v>
      </c>
      <c r="M18" s="22">
        <v>523903.16</v>
      </c>
      <c r="N18" s="22">
        <v>29.93</v>
      </c>
      <c r="O18" s="23" t="s">
        <v>33</v>
      </c>
      <c r="P18" s="18">
        <v>0.3301</v>
      </c>
      <c r="Q18" s="18">
        <v>0.73</v>
      </c>
    </row>
    <row r="19" spans="1:17" x14ac:dyDescent="0.35">
      <c r="A19" s="12" t="s">
        <v>89</v>
      </c>
      <c r="B19" s="12" t="s">
        <v>90</v>
      </c>
      <c r="C19" s="13" t="s">
        <v>48</v>
      </c>
      <c r="D19" s="12" t="s">
        <v>49</v>
      </c>
      <c r="E19" s="14" t="s">
        <v>50</v>
      </c>
      <c r="F19" s="15" t="s">
        <v>31</v>
      </c>
      <c r="G19" s="12" t="s">
        <v>39</v>
      </c>
      <c r="H19" s="12">
        <v>72.37</v>
      </c>
      <c r="I19" s="12">
        <v>76.39</v>
      </c>
      <c r="J19" s="12">
        <v>2073</v>
      </c>
      <c r="K19" s="12">
        <v>150023.01</v>
      </c>
      <c r="L19" s="12">
        <v>158356.47</v>
      </c>
      <c r="M19" s="17">
        <v>8333.4599999999991</v>
      </c>
      <c r="N19" s="17">
        <v>5.55</v>
      </c>
      <c r="O19" s="17" t="s">
        <v>25</v>
      </c>
      <c r="P19" s="12">
        <v>0.15679999999999999</v>
      </c>
      <c r="Q19" s="12">
        <v>1.18</v>
      </c>
    </row>
    <row r="20" spans="1:17" x14ac:dyDescent="0.35">
      <c r="A20" s="18" t="s">
        <v>91</v>
      </c>
      <c r="B20" s="18" t="s">
        <v>92</v>
      </c>
      <c r="C20" s="19" t="s">
        <v>60</v>
      </c>
      <c r="D20" s="18" t="s">
        <v>61</v>
      </c>
      <c r="E20" s="20" t="s">
        <v>22</v>
      </c>
      <c r="F20" s="21" t="s">
        <v>23</v>
      </c>
      <c r="G20" s="18" t="s">
        <v>32</v>
      </c>
      <c r="H20" s="18">
        <v>158.77000000000001</v>
      </c>
      <c r="I20" s="18">
        <v>158.07</v>
      </c>
      <c r="J20" s="18">
        <v>3993</v>
      </c>
      <c r="K20" s="18">
        <v>633968.61</v>
      </c>
      <c r="L20" s="18">
        <v>631173.51</v>
      </c>
      <c r="M20" s="23">
        <v>-2795.1</v>
      </c>
      <c r="N20" s="23">
        <v>-0.44</v>
      </c>
      <c r="O20" s="22" t="s">
        <v>25</v>
      </c>
      <c r="P20" s="18">
        <v>0.34689999999999999</v>
      </c>
      <c r="Q20" s="18">
        <v>1.33</v>
      </c>
    </row>
    <row r="21" spans="1:17" x14ac:dyDescent="0.35">
      <c r="A21" s="12" t="s">
        <v>93</v>
      </c>
      <c r="B21" s="12" t="s">
        <v>94</v>
      </c>
      <c r="C21" s="13" t="s">
        <v>95</v>
      </c>
      <c r="D21" s="12" t="s">
        <v>96</v>
      </c>
      <c r="E21" s="14" t="s">
        <v>97</v>
      </c>
      <c r="F21" s="15" t="s">
        <v>98</v>
      </c>
      <c r="G21" s="12" t="s">
        <v>39</v>
      </c>
      <c r="H21" s="12">
        <v>252.68</v>
      </c>
      <c r="I21" s="12">
        <v>232.2</v>
      </c>
      <c r="J21" s="12">
        <v>3368</v>
      </c>
      <c r="K21" s="12">
        <v>851026.24</v>
      </c>
      <c r="L21" s="12">
        <v>782049.6</v>
      </c>
      <c r="M21" s="16">
        <v>-68976.639999999999</v>
      </c>
      <c r="N21" s="16">
        <v>-8.11</v>
      </c>
      <c r="O21" s="25" t="s">
        <v>45</v>
      </c>
      <c r="P21" s="12">
        <v>0.30840000000000001</v>
      </c>
      <c r="Q21" s="12">
        <v>1.22</v>
      </c>
    </row>
    <row r="22" spans="1:17" x14ac:dyDescent="0.35">
      <c r="A22" s="18" t="s">
        <v>99</v>
      </c>
      <c r="B22" s="18" t="s">
        <v>100</v>
      </c>
      <c r="C22" s="19" t="s">
        <v>20</v>
      </c>
      <c r="D22" s="18" t="s">
        <v>21</v>
      </c>
      <c r="E22" s="20" t="s">
        <v>22</v>
      </c>
      <c r="F22" s="21" t="s">
        <v>31</v>
      </c>
      <c r="G22" s="18" t="s">
        <v>39</v>
      </c>
      <c r="H22" s="18">
        <v>513.79</v>
      </c>
      <c r="I22" s="18">
        <v>449.47</v>
      </c>
      <c r="J22" s="18">
        <v>2869</v>
      </c>
      <c r="K22" s="18">
        <v>1474063.51</v>
      </c>
      <c r="L22" s="18">
        <v>1289529.43</v>
      </c>
      <c r="M22" s="23">
        <v>-184534.08</v>
      </c>
      <c r="N22" s="23">
        <v>-12.52</v>
      </c>
      <c r="O22" s="24" t="s">
        <v>45</v>
      </c>
      <c r="P22" s="18">
        <v>0.373</v>
      </c>
      <c r="Q22" s="18">
        <v>0.61</v>
      </c>
    </row>
    <row r="23" spans="1:17" x14ac:dyDescent="0.35">
      <c r="A23" s="12" t="s">
        <v>101</v>
      </c>
      <c r="B23" s="12" t="s">
        <v>102</v>
      </c>
      <c r="C23" s="13" t="s">
        <v>103</v>
      </c>
      <c r="D23" s="12" t="s">
        <v>104</v>
      </c>
      <c r="E23" s="14" t="s">
        <v>22</v>
      </c>
      <c r="F23" s="15" t="s">
        <v>31</v>
      </c>
      <c r="G23" s="12" t="s">
        <v>32</v>
      </c>
      <c r="H23" s="12">
        <v>278.8</v>
      </c>
      <c r="I23" s="12">
        <v>291.79000000000002</v>
      </c>
      <c r="J23" s="12">
        <v>2806</v>
      </c>
      <c r="K23" s="12">
        <v>782312.8</v>
      </c>
      <c r="L23" s="12">
        <v>818762.74</v>
      </c>
      <c r="M23" s="17">
        <v>36449.94</v>
      </c>
      <c r="N23" s="17">
        <v>4.66</v>
      </c>
      <c r="O23" s="17" t="s">
        <v>25</v>
      </c>
      <c r="P23" s="12">
        <v>0.40770000000000001</v>
      </c>
      <c r="Q23" s="12">
        <v>0.86</v>
      </c>
    </row>
    <row r="24" spans="1:17" x14ac:dyDescent="0.35">
      <c r="A24" s="18" t="s">
        <v>105</v>
      </c>
      <c r="B24" s="18" t="s">
        <v>106</v>
      </c>
      <c r="C24" s="19" t="s">
        <v>87</v>
      </c>
      <c r="D24" s="18" t="s">
        <v>88</v>
      </c>
      <c r="E24" s="20" t="s">
        <v>22</v>
      </c>
      <c r="F24" s="21" t="s">
        <v>23</v>
      </c>
      <c r="G24" s="18" t="s">
        <v>39</v>
      </c>
      <c r="H24" s="18">
        <v>382.29</v>
      </c>
      <c r="I24" s="18">
        <v>270.5</v>
      </c>
      <c r="J24" s="18">
        <v>3974</v>
      </c>
      <c r="K24" s="18">
        <v>1519220.46</v>
      </c>
      <c r="L24" s="18">
        <v>1074967</v>
      </c>
      <c r="M24" s="23">
        <v>-444253.46</v>
      </c>
      <c r="N24" s="23">
        <v>-29.24</v>
      </c>
      <c r="O24" s="23" t="s">
        <v>33</v>
      </c>
      <c r="P24" s="18">
        <v>0.16170000000000001</v>
      </c>
      <c r="Q24" s="18">
        <v>1.1200000000000001</v>
      </c>
    </row>
    <row r="25" spans="1:17" x14ac:dyDescent="0.35">
      <c r="A25" s="12" t="s">
        <v>107</v>
      </c>
      <c r="B25" s="12" t="s">
        <v>108</v>
      </c>
      <c r="C25" s="13" t="s">
        <v>42</v>
      </c>
      <c r="D25" s="12" t="s">
        <v>43</v>
      </c>
      <c r="E25" s="14" t="s">
        <v>44</v>
      </c>
      <c r="F25" s="15" t="s">
        <v>31</v>
      </c>
      <c r="G25" s="12" t="s">
        <v>39</v>
      </c>
      <c r="H25" s="12">
        <v>477.5</v>
      </c>
      <c r="I25" s="12">
        <v>456</v>
      </c>
      <c r="J25" s="12">
        <v>906</v>
      </c>
      <c r="K25" s="12">
        <v>432615</v>
      </c>
      <c r="L25" s="12">
        <v>413136</v>
      </c>
      <c r="M25" s="16">
        <v>-19479</v>
      </c>
      <c r="N25" s="16">
        <v>-4.5</v>
      </c>
      <c r="O25" s="17" t="s">
        <v>25</v>
      </c>
      <c r="P25" s="12">
        <v>0.46429999999999999</v>
      </c>
      <c r="Q25" s="12">
        <v>0.73</v>
      </c>
    </row>
    <row r="26" spans="1:17" x14ac:dyDescent="0.35">
      <c r="A26" s="18" t="s">
        <v>109</v>
      </c>
      <c r="B26" s="18" t="s">
        <v>110</v>
      </c>
      <c r="C26" s="19" t="s">
        <v>95</v>
      </c>
      <c r="D26" s="18" t="s">
        <v>96</v>
      </c>
      <c r="E26" s="20" t="s">
        <v>97</v>
      </c>
      <c r="F26" s="21" t="s">
        <v>23</v>
      </c>
      <c r="G26" s="18" t="s">
        <v>39</v>
      </c>
      <c r="H26" s="18">
        <v>199.11</v>
      </c>
      <c r="I26" s="18">
        <v>165.82</v>
      </c>
      <c r="J26" s="18">
        <v>3556</v>
      </c>
      <c r="K26" s="18">
        <v>708035.16</v>
      </c>
      <c r="L26" s="18">
        <v>589655.92000000004</v>
      </c>
      <c r="M26" s="23">
        <v>-118379.24</v>
      </c>
      <c r="N26" s="23">
        <v>-16.72</v>
      </c>
      <c r="O26" s="24" t="s">
        <v>45</v>
      </c>
      <c r="P26" s="18">
        <v>0.496</v>
      </c>
      <c r="Q26" s="18">
        <v>0.69</v>
      </c>
    </row>
    <row r="27" spans="1:17" x14ac:dyDescent="0.35">
      <c r="A27" s="12" t="s">
        <v>111</v>
      </c>
      <c r="B27" s="12" t="s">
        <v>112</v>
      </c>
      <c r="C27" s="13" t="s">
        <v>36</v>
      </c>
      <c r="D27" s="12" t="s">
        <v>37</v>
      </c>
      <c r="E27" s="14" t="s">
        <v>30</v>
      </c>
      <c r="F27" s="15" t="s">
        <v>62</v>
      </c>
      <c r="G27" s="12" t="s">
        <v>32</v>
      </c>
      <c r="H27" s="12">
        <v>239.55</v>
      </c>
      <c r="I27" s="12">
        <v>366.14</v>
      </c>
      <c r="J27" s="12">
        <v>220</v>
      </c>
      <c r="K27" s="12">
        <v>52701</v>
      </c>
      <c r="L27" s="12">
        <v>80550.8</v>
      </c>
      <c r="M27" s="17">
        <v>27849.8</v>
      </c>
      <c r="N27" s="17">
        <v>52.84</v>
      </c>
      <c r="O27" s="16" t="s">
        <v>33</v>
      </c>
      <c r="P27" s="12">
        <v>0.4849</v>
      </c>
      <c r="Q27" s="12">
        <v>0.8</v>
      </c>
    </row>
    <row r="28" spans="1:17" x14ac:dyDescent="0.35">
      <c r="A28" s="18" t="s">
        <v>113</v>
      </c>
      <c r="B28" s="18" t="s">
        <v>114</v>
      </c>
      <c r="C28" s="19" t="s">
        <v>115</v>
      </c>
      <c r="D28" s="18" t="s">
        <v>116</v>
      </c>
      <c r="E28" s="20" t="s">
        <v>55</v>
      </c>
      <c r="F28" s="21" t="s">
        <v>38</v>
      </c>
      <c r="G28" s="18" t="s">
        <v>39</v>
      </c>
      <c r="H28" s="18">
        <v>701.53</v>
      </c>
      <c r="I28" s="18">
        <v>435.64</v>
      </c>
      <c r="J28" s="18">
        <v>580</v>
      </c>
      <c r="K28" s="18">
        <v>406887.4</v>
      </c>
      <c r="L28" s="18">
        <v>252671.2</v>
      </c>
      <c r="M28" s="23">
        <v>-154216.20000000001</v>
      </c>
      <c r="N28" s="23">
        <v>-37.9</v>
      </c>
      <c r="O28" s="23" t="s">
        <v>33</v>
      </c>
      <c r="P28" s="18">
        <v>0.28789999999999999</v>
      </c>
      <c r="Q28" s="18">
        <v>1.71</v>
      </c>
    </row>
    <row r="29" spans="1:17" x14ac:dyDescent="0.35">
      <c r="A29" s="12" t="s">
        <v>117</v>
      </c>
      <c r="B29" s="12" t="s">
        <v>118</v>
      </c>
      <c r="C29" s="13" t="s">
        <v>119</v>
      </c>
      <c r="D29" s="12" t="s">
        <v>120</v>
      </c>
      <c r="E29" s="14" t="s">
        <v>44</v>
      </c>
      <c r="F29" s="15" t="s">
        <v>62</v>
      </c>
      <c r="G29" s="12" t="s">
        <v>32</v>
      </c>
      <c r="H29" s="12">
        <v>43.03</v>
      </c>
      <c r="I29" s="12">
        <v>46.8</v>
      </c>
      <c r="J29" s="12">
        <v>4086</v>
      </c>
      <c r="K29" s="12">
        <v>175820.58</v>
      </c>
      <c r="L29" s="12">
        <v>191224.8</v>
      </c>
      <c r="M29" s="17">
        <v>15404.22</v>
      </c>
      <c r="N29" s="17">
        <v>8.76</v>
      </c>
      <c r="O29" s="25" t="s">
        <v>45</v>
      </c>
      <c r="P29" s="12">
        <v>0.53649999999999998</v>
      </c>
      <c r="Q29" s="12">
        <v>1.3</v>
      </c>
    </row>
    <row r="30" spans="1:17" x14ac:dyDescent="0.35">
      <c r="A30" s="18" t="s">
        <v>121</v>
      </c>
      <c r="B30" s="18" t="s">
        <v>122</v>
      </c>
      <c r="C30" s="19" t="s">
        <v>36</v>
      </c>
      <c r="D30" s="18" t="s">
        <v>37</v>
      </c>
      <c r="E30" s="20" t="s">
        <v>30</v>
      </c>
      <c r="F30" s="21" t="s">
        <v>31</v>
      </c>
      <c r="G30" s="18" t="s">
        <v>65</v>
      </c>
      <c r="H30" s="18">
        <v>215.3</v>
      </c>
      <c r="I30" s="18">
        <v>265.25</v>
      </c>
      <c r="J30" s="18">
        <v>510</v>
      </c>
      <c r="K30" s="18">
        <v>109803</v>
      </c>
      <c r="L30" s="18">
        <v>135277.5</v>
      </c>
      <c r="M30" s="22">
        <v>25474.5</v>
      </c>
      <c r="N30" s="22">
        <v>23.2</v>
      </c>
      <c r="O30" s="23" t="s">
        <v>33</v>
      </c>
      <c r="P30" s="18">
        <v>0.48670000000000002</v>
      </c>
      <c r="Q30" s="18">
        <v>0.79</v>
      </c>
    </row>
    <row r="31" spans="1:17" x14ac:dyDescent="0.35">
      <c r="A31" s="12" t="s">
        <v>123</v>
      </c>
      <c r="B31" s="12" t="s">
        <v>124</v>
      </c>
      <c r="C31" s="13" t="s">
        <v>72</v>
      </c>
      <c r="D31" s="12" t="s">
        <v>73</v>
      </c>
      <c r="E31" s="14" t="s">
        <v>74</v>
      </c>
      <c r="F31" s="15" t="s">
        <v>31</v>
      </c>
      <c r="G31" s="12" t="s">
        <v>32</v>
      </c>
      <c r="H31" s="12">
        <v>391.67</v>
      </c>
      <c r="I31" s="12">
        <v>580.95000000000005</v>
      </c>
      <c r="J31" s="12">
        <v>4974</v>
      </c>
      <c r="K31" s="12">
        <v>1948166.58</v>
      </c>
      <c r="L31" s="12">
        <v>2889645.3</v>
      </c>
      <c r="M31" s="17">
        <v>941478.72</v>
      </c>
      <c r="N31" s="17">
        <v>48.33</v>
      </c>
      <c r="O31" s="16" t="s">
        <v>33</v>
      </c>
      <c r="P31" s="12">
        <v>0.29360000000000003</v>
      </c>
      <c r="Q31" s="12">
        <v>1.73</v>
      </c>
    </row>
    <row r="32" spans="1:17" x14ac:dyDescent="0.35">
      <c r="A32" s="18" t="s">
        <v>125</v>
      </c>
      <c r="B32" s="18" t="s">
        <v>126</v>
      </c>
      <c r="C32" s="19" t="s">
        <v>28</v>
      </c>
      <c r="D32" s="18" t="s">
        <v>29</v>
      </c>
      <c r="E32" s="20" t="s">
        <v>30</v>
      </c>
      <c r="F32" s="21" t="s">
        <v>62</v>
      </c>
      <c r="G32" s="18" t="s">
        <v>32</v>
      </c>
      <c r="H32" s="18">
        <v>234.18</v>
      </c>
      <c r="I32" s="18">
        <v>301.76</v>
      </c>
      <c r="J32" s="18">
        <v>771</v>
      </c>
      <c r="K32" s="18">
        <v>180552.78</v>
      </c>
      <c r="L32" s="18">
        <v>232656.96</v>
      </c>
      <c r="M32" s="22">
        <v>52104.18</v>
      </c>
      <c r="N32" s="22">
        <v>28.86</v>
      </c>
      <c r="O32" s="23" t="s">
        <v>33</v>
      </c>
      <c r="P32" s="18">
        <v>0.3448</v>
      </c>
      <c r="Q32" s="18">
        <v>1.72</v>
      </c>
    </row>
    <row r="33" spans="1:17" x14ac:dyDescent="0.35">
      <c r="A33" s="12" t="s">
        <v>127</v>
      </c>
      <c r="B33" s="12" t="s">
        <v>128</v>
      </c>
      <c r="C33" s="13" t="s">
        <v>95</v>
      </c>
      <c r="D33" s="12" t="s">
        <v>96</v>
      </c>
      <c r="E33" s="14" t="s">
        <v>97</v>
      </c>
      <c r="F33" s="15" t="s">
        <v>23</v>
      </c>
      <c r="G33" s="12" t="s">
        <v>65</v>
      </c>
      <c r="H33" s="12">
        <v>213.12</v>
      </c>
      <c r="I33" s="12">
        <v>287.75</v>
      </c>
      <c r="J33" s="12">
        <v>2275</v>
      </c>
      <c r="K33" s="12">
        <v>484848</v>
      </c>
      <c r="L33" s="12">
        <v>654631.25</v>
      </c>
      <c r="M33" s="17">
        <v>169783.25</v>
      </c>
      <c r="N33" s="17">
        <v>35.020000000000003</v>
      </c>
      <c r="O33" s="16" t="s">
        <v>33</v>
      </c>
      <c r="P33" s="12">
        <v>0.249</v>
      </c>
      <c r="Q33" s="12">
        <v>0.98</v>
      </c>
    </row>
    <row r="34" spans="1:17" x14ac:dyDescent="0.35">
      <c r="A34" s="18" t="s">
        <v>129</v>
      </c>
      <c r="B34" s="18" t="s">
        <v>130</v>
      </c>
      <c r="C34" s="19" t="s">
        <v>60</v>
      </c>
      <c r="D34" s="18" t="s">
        <v>61</v>
      </c>
      <c r="E34" s="20" t="s">
        <v>22</v>
      </c>
      <c r="F34" s="21" t="s">
        <v>62</v>
      </c>
      <c r="G34" s="18" t="s">
        <v>39</v>
      </c>
      <c r="H34" s="18">
        <v>160.84</v>
      </c>
      <c r="I34" s="18">
        <v>105.14</v>
      </c>
      <c r="J34" s="18">
        <v>4712</v>
      </c>
      <c r="K34" s="18">
        <v>757878.08</v>
      </c>
      <c r="L34" s="18">
        <v>495419.68</v>
      </c>
      <c r="M34" s="23">
        <v>-262458.40000000002</v>
      </c>
      <c r="N34" s="23">
        <v>-34.630000000000003</v>
      </c>
      <c r="O34" s="23" t="s">
        <v>33</v>
      </c>
      <c r="P34" s="18">
        <v>0.2117</v>
      </c>
      <c r="Q34" s="18">
        <v>0.92</v>
      </c>
    </row>
    <row r="35" spans="1:17" x14ac:dyDescent="0.35">
      <c r="A35" s="12" t="s">
        <v>131</v>
      </c>
      <c r="B35" s="12" t="s">
        <v>132</v>
      </c>
      <c r="C35" s="13" t="s">
        <v>48</v>
      </c>
      <c r="D35" s="12" t="s">
        <v>49</v>
      </c>
      <c r="E35" s="14" t="s">
        <v>50</v>
      </c>
      <c r="F35" s="15" t="s">
        <v>98</v>
      </c>
      <c r="G35" s="12" t="s">
        <v>39</v>
      </c>
      <c r="H35" s="12">
        <v>58.33</v>
      </c>
      <c r="I35" s="12">
        <v>58.54</v>
      </c>
      <c r="J35" s="12">
        <v>2434</v>
      </c>
      <c r="K35" s="12">
        <v>141975.22</v>
      </c>
      <c r="L35" s="12">
        <v>142486.35999999999</v>
      </c>
      <c r="M35" s="17">
        <v>511.14</v>
      </c>
      <c r="N35" s="17">
        <v>0.36</v>
      </c>
      <c r="O35" s="17" t="s">
        <v>25</v>
      </c>
      <c r="P35" s="12">
        <v>0.42249999999999999</v>
      </c>
      <c r="Q35" s="12">
        <v>1.33</v>
      </c>
    </row>
    <row r="36" spans="1:17" x14ac:dyDescent="0.35">
      <c r="A36" s="18" t="s">
        <v>133</v>
      </c>
      <c r="B36" s="18" t="s">
        <v>134</v>
      </c>
      <c r="C36" s="19" t="s">
        <v>72</v>
      </c>
      <c r="D36" s="18" t="s">
        <v>73</v>
      </c>
      <c r="E36" s="20" t="s">
        <v>74</v>
      </c>
      <c r="F36" s="21" t="s">
        <v>31</v>
      </c>
      <c r="G36" s="18" t="s">
        <v>24</v>
      </c>
      <c r="H36" s="18">
        <v>418.2</v>
      </c>
      <c r="I36" s="18">
        <v>628.47</v>
      </c>
      <c r="J36" s="18">
        <v>1200</v>
      </c>
      <c r="K36" s="18">
        <v>501840</v>
      </c>
      <c r="L36" s="18">
        <v>754164</v>
      </c>
      <c r="M36" s="22">
        <v>252324</v>
      </c>
      <c r="N36" s="22">
        <v>50.28</v>
      </c>
      <c r="O36" s="23" t="s">
        <v>33</v>
      </c>
      <c r="P36" s="18">
        <v>0.43919999999999998</v>
      </c>
      <c r="Q36" s="18">
        <v>0.79</v>
      </c>
    </row>
    <row r="37" spans="1:17" x14ac:dyDescent="0.35">
      <c r="A37" s="12" t="s">
        <v>135</v>
      </c>
      <c r="B37" s="12" t="s">
        <v>136</v>
      </c>
      <c r="C37" s="13" t="s">
        <v>137</v>
      </c>
      <c r="D37" s="12" t="s">
        <v>138</v>
      </c>
      <c r="E37" s="14" t="s">
        <v>50</v>
      </c>
      <c r="F37" s="15" t="s">
        <v>98</v>
      </c>
      <c r="G37" s="12" t="s">
        <v>39</v>
      </c>
      <c r="H37" s="12">
        <v>110.91</v>
      </c>
      <c r="I37" s="12">
        <v>112.28</v>
      </c>
      <c r="J37" s="12">
        <v>1767</v>
      </c>
      <c r="K37" s="12">
        <v>195977.97</v>
      </c>
      <c r="L37" s="12">
        <v>198398.76</v>
      </c>
      <c r="M37" s="17">
        <v>2420.79</v>
      </c>
      <c r="N37" s="17">
        <v>1.24</v>
      </c>
      <c r="O37" s="17" t="s">
        <v>25</v>
      </c>
      <c r="P37" s="12">
        <v>0.33729999999999999</v>
      </c>
      <c r="Q37" s="12">
        <v>0.9</v>
      </c>
    </row>
    <row r="38" spans="1:17" x14ac:dyDescent="0.35">
      <c r="A38" s="18" t="s">
        <v>139</v>
      </c>
      <c r="B38" s="18" t="s">
        <v>140</v>
      </c>
      <c r="C38" s="19" t="s">
        <v>103</v>
      </c>
      <c r="D38" s="18" t="s">
        <v>104</v>
      </c>
      <c r="E38" s="20" t="s">
        <v>22</v>
      </c>
      <c r="F38" s="21" t="s">
        <v>98</v>
      </c>
      <c r="G38" s="18" t="s">
        <v>32</v>
      </c>
      <c r="H38" s="18">
        <v>272.33999999999997</v>
      </c>
      <c r="I38" s="18">
        <v>386.66</v>
      </c>
      <c r="J38" s="18">
        <v>461</v>
      </c>
      <c r="K38" s="18">
        <v>125548.74</v>
      </c>
      <c r="L38" s="18">
        <v>178250.26</v>
      </c>
      <c r="M38" s="22">
        <v>52701.52</v>
      </c>
      <c r="N38" s="22">
        <v>41.98</v>
      </c>
      <c r="O38" s="23" t="s">
        <v>33</v>
      </c>
      <c r="P38" s="18">
        <v>0.39400000000000002</v>
      </c>
      <c r="Q38" s="18">
        <v>0.91</v>
      </c>
    </row>
    <row r="39" spans="1:17" x14ac:dyDescent="0.35">
      <c r="A39" s="12" t="s">
        <v>141</v>
      </c>
      <c r="B39" s="12" t="s">
        <v>142</v>
      </c>
      <c r="C39" s="13" t="s">
        <v>119</v>
      </c>
      <c r="D39" s="12" t="s">
        <v>120</v>
      </c>
      <c r="E39" s="14" t="s">
        <v>44</v>
      </c>
      <c r="F39" s="15" t="s">
        <v>62</v>
      </c>
      <c r="G39" s="12" t="s">
        <v>32</v>
      </c>
      <c r="H39" s="12">
        <v>42.41</v>
      </c>
      <c r="I39" s="12">
        <v>65.38</v>
      </c>
      <c r="J39" s="12">
        <v>179</v>
      </c>
      <c r="K39" s="12">
        <v>7591.39</v>
      </c>
      <c r="L39" s="12">
        <v>11703.02</v>
      </c>
      <c r="M39" s="17">
        <v>4111.63</v>
      </c>
      <c r="N39" s="17">
        <v>54.16</v>
      </c>
      <c r="O39" s="16" t="s">
        <v>33</v>
      </c>
      <c r="P39" s="12">
        <v>0.41710000000000003</v>
      </c>
      <c r="Q39" s="12">
        <v>0.78</v>
      </c>
    </row>
    <row r="40" spans="1:17" x14ac:dyDescent="0.35">
      <c r="A40" s="18" t="s">
        <v>143</v>
      </c>
      <c r="B40" s="18" t="s">
        <v>144</v>
      </c>
      <c r="C40" s="19" t="s">
        <v>103</v>
      </c>
      <c r="D40" s="18" t="s">
        <v>104</v>
      </c>
      <c r="E40" s="20" t="s">
        <v>22</v>
      </c>
      <c r="F40" s="21" t="s">
        <v>38</v>
      </c>
      <c r="G40" s="18" t="s">
        <v>32</v>
      </c>
      <c r="H40" s="18">
        <v>276.02</v>
      </c>
      <c r="I40" s="18">
        <v>313.35000000000002</v>
      </c>
      <c r="J40" s="18">
        <v>1144</v>
      </c>
      <c r="K40" s="18">
        <v>315766.88</v>
      </c>
      <c r="L40" s="18">
        <v>358472.4</v>
      </c>
      <c r="M40" s="22">
        <v>42705.52</v>
      </c>
      <c r="N40" s="22">
        <v>13.52</v>
      </c>
      <c r="O40" s="24" t="s">
        <v>45</v>
      </c>
      <c r="P40" s="18">
        <v>0.5212</v>
      </c>
      <c r="Q40" s="18">
        <v>1.77</v>
      </c>
    </row>
    <row r="41" spans="1:17" x14ac:dyDescent="0.35">
      <c r="A41" s="12" t="s">
        <v>145</v>
      </c>
      <c r="B41" s="12" t="s">
        <v>146</v>
      </c>
      <c r="C41" s="13" t="s">
        <v>103</v>
      </c>
      <c r="D41" s="12" t="s">
        <v>104</v>
      </c>
      <c r="E41" s="14" t="s">
        <v>22</v>
      </c>
      <c r="F41" s="15" t="s">
        <v>23</v>
      </c>
      <c r="G41" s="12" t="s">
        <v>39</v>
      </c>
      <c r="H41" s="12">
        <v>305.95</v>
      </c>
      <c r="I41" s="12">
        <v>268.49</v>
      </c>
      <c r="J41" s="12">
        <v>942</v>
      </c>
      <c r="K41" s="12">
        <v>288204.90000000002</v>
      </c>
      <c r="L41" s="12">
        <v>252917.58</v>
      </c>
      <c r="M41" s="16">
        <v>-35287.32</v>
      </c>
      <c r="N41" s="16">
        <v>-12.24</v>
      </c>
      <c r="O41" s="25" t="s">
        <v>45</v>
      </c>
      <c r="P41" s="12">
        <v>0.49609999999999999</v>
      </c>
      <c r="Q41" s="12">
        <v>1.77</v>
      </c>
    </row>
    <row r="42" spans="1:17" x14ac:dyDescent="0.35">
      <c r="A42" s="18" t="s">
        <v>147</v>
      </c>
      <c r="B42" s="18" t="s">
        <v>148</v>
      </c>
      <c r="C42" s="19" t="s">
        <v>87</v>
      </c>
      <c r="D42" s="18" t="s">
        <v>88</v>
      </c>
      <c r="E42" s="20" t="s">
        <v>22</v>
      </c>
      <c r="F42" s="21" t="s">
        <v>23</v>
      </c>
      <c r="G42" s="18" t="s">
        <v>32</v>
      </c>
      <c r="H42" s="18">
        <v>300.10000000000002</v>
      </c>
      <c r="I42" s="18">
        <v>418.82</v>
      </c>
      <c r="J42" s="18">
        <v>3477</v>
      </c>
      <c r="K42" s="18">
        <v>1043447.7</v>
      </c>
      <c r="L42" s="18">
        <v>1456237.14</v>
      </c>
      <c r="M42" s="22">
        <v>412789.44</v>
      </c>
      <c r="N42" s="22">
        <v>39.56</v>
      </c>
      <c r="O42" s="23" t="s">
        <v>33</v>
      </c>
      <c r="P42" s="18">
        <v>0.26279999999999998</v>
      </c>
      <c r="Q42" s="18">
        <v>1.72</v>
      </c>
    </row>
    <row r="43" spans="1:17" x14ac:dyDescent="0.35">
      <c r="A43" s="12" t="s">
        <v>149</v>
      </c>
      <c r="B43" s="12" t="s">
        <v>80</v>
      </c>
      <c r="C43" s="13" t="s">
        <v>150</v>
      </c>
      <c r="D43" s="12" t="s">
        <v>151</v>
      </c>
      <c r="E43" s="14" t="s">
        <v>55</v>
      </c>
      <c r="F43" s="15" t="s">
        <v>31</v>
      </c>
      <c r="G43" s="12" t="s">
        <v>32</v>
      </c>
      <c r="H43" s="12">
        <v>172.31</v>
      </c>
      <c r="I43" s="12">
        <v>255.19</v>
      </c>
      <c r="J43" s="12">
        <v>3233</v>
      </c>
      <c r="K43" s="12">
        <v>557078.23</v>
      </c>
      <c r="L43" s="12">
        <v>825029.27</v>
      </c>
      <c r="M43" s="17">
        <v>267951.03999999998</v>
      </c>
      <c r="N43" s="17">
        <v>48.1</v>
      </c>
      <c r="O43" s="16" t="s">
        <v>33</v>
      </c>
      <c r="P43" s="12">
        <v>0.21560000000000001</v>
      </c>
      <c r="Q43" s="12">
        <v>1.58</v>
      </c>
    </row>
    <row r="44" spans="1:17" x14ac:dyDescent="0.35">
      <c r="A44" s="18" t="s">
        <v>152</v>
      </c>
      <c r="B44" s="18" t="s">
        <v>153</v>
      </c>
      <c r="C44" s="19" t="s">
        <v>119</v>
      </c>
      <c r="D44" s="18" t="s">
        <v>120</v>
      </c>
      <c r="E44" s="20" t="s">
        <v>44</v>
      </c>
      <c r="F44" s="21" t="s">
        <v>23</v>
      </c>
      <c r="G44" s="18" t="s">
        <v>24</v>
      </c>
      <c r="H44" s="18">
        <v>41.14</v>
      </c>
      <c r="I44" s="18">
        <v>41.76</v>
      </c>
      <c r="J44" s="18">
        <v>1926</v>
      </c>
      <c r="K44" s="18">
        <v>79235.64</v>
      </c>
      <c r="L44" s="18">
        <v>80429.759999999995</v>
      </c>
      <c r="M44" s="22">
        <v>1194.1199999999999</v>
      </c>
      <c r="N44" s="22">
        <v>1.51</v>
      </c>
      <c r="O44" s="22" t="s">
        <v>25</v>
      </c>
      <c r="P44" s="18">
        <v>0.26119999999999999</v>
      </c>
      <c r="Q44" s="18">
        <v>1.64</v>
      </c>
    </row>
    <row r="45" spans="1:17" x14ac:dyDescent="0.35">
      <c r="A45" s="12" t="s">
        <v>154</v>
      </c>
      <c r="B45" s="12" t="s">
        <v>155</v>
      </c>
      <c r="C45" s="13" t="s">
        <v>83</v>
      </c>
      <c r="D45" s="12" t="s">
        <v>84</v>
      </c>
      <c r="E45" s="14" t="s">
        <v>55</v>
      </c>
      <c r="F45" s="15" t="s">
        <v>62</v>
      </c>
      <c r="G45" s="12" t="s">
        <v>32</v>
      </c>
      <c r="H45" s="12">
        <v>430.07</v>
      </c>
      <c r="I45" s="12">
        <v>413.19</v>
      </c>
      <c r="J45" s="12">
        <v>2812</v>
      </c>
      <c r="K45" s="12">
        <v>1209356.8400000001</v>
      </c>
      <c r="L45" s="12">
        <v>1161890.28</v>
      </c>
      <c r="M45" s="16">
        <v>-47466.559999999998</v>
      </c>
      <c r="N45" s="16">
        <v>-3.92</v>
      </c>
      <c r="O45" s="17" t="s">
        <v>25</v>
      </c>
      <c r="P45" s="12">
        <v>0.5373</v>
      </c>
      <c r="Q45" s="12">
        <v>0.81</v>
      </c>
    </row>
    <row r="46" spans="1:17" x14ac:dyDescent="0.35">
      <c r="A46" s="18" t="s">
        <v>156</v>
      </c>
      <c r="B46" s="18" t="s">
        <v>157</v>
      </c>
      <c r="C46" s="19" t="s">
        <v>83</v>
      </c>
      <c r="D46" s="18" t="s">
        <v>84</v>
      </c>
      <c r="E46" s="20" t="s">
        <v>55</v>
      </c>
      <c r="F46" s="21" t="s">
        <v>62</v>
      </c>
      <c r="G46" s="18" t="s">
        <v>32</v>
      </c>
      <c r="H46" s="18">
        <v>362.41</v>
      </c>
      <c r="I46" s="18">
        <v>518.42999999999995</v>
      </c>
      <c r="J46" s="18">
        <v>3659</v>
      </c>
      <c r="K46" s="18">
        <v>1326058.19</v>
      </c>
      <c r="L46" s="18">
        <v>1896935.37</v>
      </c>
      <c r="M46" s="22">
        <v>570877.18000000005</v>
      </c>
      <c r="N46" s="22">
        <v>43.05</v>
      </c>
      <c r="O46" s="23" t="s">
        <v>33</v>
      </c>
      <c r="P46" s="18">
        <v>0.30759999999999998</v>
      </c>
      <c r="Q46" s="18">
        <v>1.78</v>
      </c>
    </row>
    <row r="47" spans="1:17" x14ac:dyDescent="0.35">
      <c r="A47" s="12" t="s">
        <v>158</v>
      </c>
      <c r="B47" s="12" t="s">
        <v>159</v>
      </c>
      <c r="C47" s="13" t="s">
        <v>20</v>
      </c>
      <c r="D47" s="12" t="s">
        <v>21</v>
      </c>
      <c r="E47" s="14" t="s">
        <v>22</v>
      </c>
      <c r="F47" s="15" t="s">
        <v>98</v>
      </c>
      <c r="G47" s="12" t="s">
        <v>39</v>
      </c>
      <c r="H47" s="12">
        <v>637.58000000000004</v>
      </c>
      <c r="I47" s="12">
        <v>395.8</v>
      </c>
      <c r="J47" s="12">
        <v>463</v>
      </c>
      <c r="K47" s="12">
        <v>295199.53999999998</v>
      </c>
      <c r="L47" s="12">
        <v>183255.4</v>
      </c>
      <c r="M47" s="16">
        <v>-111944.14</v>
      </c>
      <c r="N47" s="16">
        <v>-37.92</v>
      </c>
      <c r="O47" s="16" t="s">
        <v>33</v>
      </c>
      <c r="P47" s="12">
        <v>0.51800000000000002</v>
      </c>
      <c r="Q47" s="12">
        <v>1.25</v>
      </c>
    </row>
    <row r="48" spans="1:17" x14ac:dyDescent="0.35">
      <c r="A48" s="18" t="s">
        <v>160</v>
      </c>
      <c r="B48" s="18" t="s">
        <v>161</v>
      </c>
      <c r="C48" s="19" t="s">
        <v>95</v>
      </c>
      <c r="D48" s="18" t="s">
        <v>96</v>
      </c>
      <c r="E48" s="20" t="s">
        <v>97</v>
      </c>
      <c r="F48" s="21" t="s">
        <v>31</v>
      </c>
      <c r="G48" s="18" t="s">
        <v>32</v>
      </c>
      <c r="H48" s="18">
        <v>228.13</v>
      </c>
      <c r="I48" s="18">
        <v>306.69</v>
      </c>
      <c r="J48" s="18">
        <v>2804</v>
      </c>
      <c r="K48" s="18">
        <v>639676.52</v>
      </c>
      <c r="L48" s="18">
        <v>859958.76</v>
      </c>
      <c r="M48" s="22">
        <v>220282.23999999999</v>
      </c>
      <c r="N48" s="22">
        <v>34.44</v>
      </c>
      <c r="O48" s="23" t="s">
        <v>33</v>
      </c>
      <c r="P48" s="18">
        <v>0.1736</v>
      </c>
      <c r="Q48" s="18">
        <v>1.68</v>
      </c>
    </row>
    <row r="49" spans="1:17" x14ac:dyDescent="0.35">
      <c r="A49" s="12" t="s">
        <v>162</v>
      </c>
      <c r="B49" s="12" t="s">
        <v>163</v>
      </c>
      <c r="C49" s="13" t="s">
        <v>72</v>
      </c>
      <c r="D49" s="12" t="s">
        <v>73</v>
      </c>
      <c r="E49" s="14" t="s">
        <v>74</v>
      </c>
      <c r="F49" s="15" t="s">
        <v>98</v>
      </c>
      <c r="G49" s="12" t="s">
        <v>32</v>
      </c>
      <c r="H49" s="12">
        <v>476.62</v>
      </c>
      <c r="I49" s="12">
        <v>604.4</v>
      </c>
      <c r="J49" s="12">
        <v>3396</v>
      </c>
      <c r="K49" s="12">
        <v>1618601.52</v>
      </c>
      <c r="L49" s="12">
        <v>2052542.4</v>
      </c>
      <c r="M49" s="17">
        <v>433940.88</v>
      </c>
      <c r="N49" s="17">
        <v>26.81</v>
      </c>
      <c r="O49" s="16" t="s">
        <v>33</v>
      </c>
      <c r="P49" s="12">
        <v>0.20250000000000001</v>
      </c>
      <c r="Q49" s="12">
        <v>1.4</v>
      </c>
    </row>
    <row r="50" spans="1:17" x14ac:dyDescent="0.35">
      <c r="A50" s="18" t="s">
        <v>164</v>
      </c>
      <c r="B50" s="18" t="s">
        <v>165</v>
      </c>
      <c r="C50" s="19" t="s">
        <v>77</v>
      </c>
      <c r="D50" s="18" t="s">
        <v>78</v>
      </c>
      <c r="E50" s="20" t="s">
        <v>44</v>
      </c>
      <c r="F50" s="21" t="s">
        <v>62</v>
      </c>
      <c r="G50" s="18" t="s">
        <v>32</v>
      </c>
      <c r="H50" s="18">
        <v>155.15</v>
      </c>
      <c r="I50" s="18">
        <v>196.04</v>
      </c>
      <c r="J50" s="18">
        <v>4762</v>
      </c>
      <c r="K50" s="18">
        <v>738824.3</v>
      </c>
      <c r="L50" s="18">
        <v>933542.48</v>
      </c>
      <c r="M50" s="22">
        <v>194718.18</v>
      </c>
      <c r="N50" s="22">
        <v>26.36</v>
      </c>
      <c r="O50" s="23" t="s">
        <v>33</v>
      </c>
      <c r="P50" s="18">
        <v>0.1202</v>
      </c>
      <c r="Q50" s="18">
        <v>0.94</v>
      </c>
    </row>
    <row r="51" spans="1:17" x14ac:dyDescent="0.35">
      <c r="A51" s="12" t="s">
        <v>166</v>
      </c>
      <c r="B51" s="12" t="s">
        <v>167</v>
      </c>
      <c r="C51" s="13" t="s">
        <v>42</v>
      </c>
      <c r="D51" s="12" t="s">
        <v>43</v>
      </c>
      <c r="E51" s="14" t="s">
        <v>44</v>
      </c>
      <c r="F51" s="15" t="s">
        <v>38</v>
      </c>
      <c r="G51" s="12" t="s">
        <v>65</v>
      </c>
      <c r="H51" s="12">
        <v>540.46</v>
      </c>
      <c r="I51" s="12">
        <v>556.45000000000005</v>
      </c>
      <c r="J51" s="12">
        <v>3719</v>
      </c>
      <c r="K51" s="12">
        <v>2009970.74</v>
      </c>
      <c r="L51" s="12">
        <v>2069437.55</v>
      </c>
      <c r="M51" s="17">
        <v>59466.81</v>
      </c>
      <c r="N51" s="17">
        <v>2.96</v>
      </c>
      <c r="O51" s="17" t="s">
        <v>25</v>
      </c>
      <c r="P51" s="12">
        <v>0.32350000000000001</v>
      </c>
      <c r="Q51" s="12">
        <v>1.68</v>
      </c>
    </row>
    <row r="52" spans="1:17" x14ac:dyDescent="0.35">
      <c r="A52" s="18" t="s">
        <v>168</v>
      </c>
      <c r="B52" s="18" t="s">
        <v>169</v>
      </c>
      <c r="C52" s="19" t="s">
        <v>170</v>
      </c>
      <c r="D52" s="18" t="s">
        <v>171</v>
      </c>
      <c r="E52" s="20" t="s">
        <v>97</v>
      </c>
      <c r="F52" s="21" t="s">
        <v>98</v>
      </c>
      <c r="G52" s="18" t="s">
        <v>32</v>
      </c>
      <c r="H52" s="18">
        <v>152.13</v>
      </c>
      <c r="I52" s="18">
        <v>199.82</v>
      </c>
      <c r="J52" s="18">
        <v>4322</v>
      </c>
      <c r="K52" s="18">
        <v>657505.86</v>
      </c>
      <c r="L52" s="18">
        <v>863622.04</v>
      </c>
      <c r="M52" s="22">
        <v>206116.18</v>
      </c>
      <c r="N52" s="22">
        <v>31.35</v>
      </c>
      <c r="O52" s="23" t="s">
        <v>33</v>
      </c>
      <c r="P52" s="18">
        <v>0.16020000000000001</v>
      </c>
      <c r="Q52" s="18">
        <v>1.74</v>
      </c>
    </row>
    <row r="53" spans="1:17" x14ac:dyDescent="0.35">
      <c r="A53" s="12" t="s">
        <v>172</v>
      </c>
      <c r="B53" s="12" t="s">
        <v>173</v>
      </c>
      <c r="C53" s="13" t="s">
        <v>150</v>
      </c>
      <c r="D53" s="12" t="s">
        <v>151</v>
      </c>
      <c r="E53" s="14" t="s">
        <v>55</v>
      </c>
      <c r="F53" s="15" t="s">
        <v>23</v>
      </c>
      <c r="G53" s="12" t="s">
        <v>24</v>
      </c>
      <c r="H53" s="12">
        <v>138.6</v>
      </c>
      <c r="I53" s="12">
        <v>126.45</v>
      </c>
      <c r="J53" s="12">
        <v>1731</v>
      </c>
      <c r="K53" s="12">
        <v>239916.6</v>
      </c>
      <c r="L53" s="12">
        <v>218884.95</v>
      </c>
      <c r="M53" s="16">
        <v>-21031.65</v>
      </c>
      <c r="N53" s="16">
        <v>-8.77</v>
      </c>
      <c r="O53" s="25" t="s">
        <v>45</v>
      </c>
      <c r="P53" s="12">
        <v>0.54310000000000003</v>
      </c>
      <c r="Q53" s="12">
        <v>1.33</v>
      </c>
    </row>
    <row r="54" spans="1:17" x14ac:dyDescent="0.35">
      <c r="A54" s="18" t="s">
        <v>174</v>
      </c>
      <c r="B54" s="18" t="s">
        <v>175</v>
      </c>
      <c r="C54" s="19" t="s">
        <v>60</v>
      </c>
      <c r="D54" s="18" t="s">
        <v>61</v>
      </c>
      <c r="E54" s="20" t="s">
        <v>22</v>
      </c>
      <c r="F54" s="21" t="s">
        <v>62</v>
      </c>
      <c r="G54" s="18" t="s">
        <v>32</v>
      </c>
      <c r="H54" s="18">
        <v>149.16999999999999</v>
      </c>
      <c r="I54" s="18">
        <v>171.36</v>
      </c>
      <c r="J54" s="18">
        <v>1692</v>
      </c>
      <c r="K54" s="18">
        <v>252395.64</v>
      </c>
      <c r="L54" s="18">
        <v>289941.12</v>
      </c>
      <c r="M54" s="22">
        <v>37545.480000000003</v>
      </c>
      <c r="N54" s="22">
        <v>14.88</v>
      </c>
      <c r="O54" s="24" t="s">
        <v>45</v>
      </c>
      <c r="P54" s="18">
        <v>0.29189999999999999</v>
      </c>
      <c r="Q54" s="18">
        <v>0.78</v>
      </c>
    </row>
    <row r="55" spans="1:17" x14ac:dyDescent="0.35">
      <c r="A55" s="12" t="s">
        <v>176</v>
      </c>
      <c r="B55" s="12" t="s">
        <v>177</v>
      </c>
      <c r="C55" s="13" t="s">
        <v>178</v>
      </c>
      <c r="D55" s="12" t="s">
        <v>179</v>
      </c>
      <c r="E55" s="14" t="s">
        <v>22</v>
      </c>
      <c r="F55" s="15" t="s">
        <v>23</v>
      </c>
      <c r="G55" s="12" t="s">
        <v>32</v>
      </c>
      <c r="H55" s="12">
        <v>190.97</v>
      </c>
      <c r="I55" s="12">
        <v>261.08</v>
      </c>
      <c r="J55" s="12">
        <v>1540</v>
      </c>
      <c r="K55" s="12">
        <v>294093.8</v>
      </c>
      <c r="L55" s="12">
        <v>402063.2</v>
      </c>
      <c r="M55" s="17">
        <v>107969.4</v>
      </c>
      <c r="N55" s="17">
        <v>36.71</v>
      </c>
      <c r="O55" s="16" t="s">
        <v>33</v>
      </c>
      <c r="P55" s="12">
        <v>0.31979999999999997</v>
      </c>
      <c r="Q55" s="12">
        <v>1.27</v>
      </c>
    </row>
    <row r="56" spans="1:17" x14ac:dyDescent="0.35">
      <c r="A56" s="18" t="s">
        <v>180</v>
      </c>
      <c r="B56" s="18" t="s">
        <v>181</v>
      </c>
      <c r="C56" s="19" t="s">
        <v>20</v>
      </c>
      <c r="D56" s="18" t="s">
        <v>21</v>
      </c>
      <c r="E56" s="20" t="s">
        <v>22</v>
      </c>
      <c r="F56" s="21" t="s">
        <v>38</v>
      </c>
      <c r="G56" s="18" t="s">
        <v>32</v>
      </c>
      <c r="H56" s="18">
        <v>687.82</v>
      </c>
      <c r="I56" s="18">
        <v>891.98</v>
      </c>
      <c r="J56" s="18">
        <v>4451</v>
      </c>
      <c r="K56" s="18">
        <v>3061486.82</v>
      </c>
      <c r="L56" s="18">
        <v>3970202.98</v>
      </c>
      <c r="M56" s="22">
        <v>908716.16</v>
      </c>
      <c r="N56" s="22">
        <v>29.68</v>
      </c>
      <c r="O56" s="23" t="s">
        <v>33</v>
      </c>
      <c r="P56" s="18">
        <v>0.52849999999999997</v>
      </c>
      <c r="Q56" s="18">
        <v>1.67</v>
      </c>
    </row>
    <row r="57" spans="1:17" x14ac:dyDescent="0.35">
      <c r="A57" s="12" t="s">
        <v>182</v>
      </c>
      <c r="B57" s="12" t="s">
        <v>183</v>
      </c>
      <c r="C57" s="13" t="s">
        <v>53</v>
      </c>
      <c r="D57" s="12" t="s">
        <v>54</v>
      </c>
      <c r="E57" s="14" t="s">
        <v>55</v>
      </c>
      <c r="F57" s="15" t="s">
        <v>62</v>
      </c>
      <c r="G57" s="12" t="s">
        <v>32</v>
      </c>
      <c r="H57" s="12">
        <v>100.72</v>
      </c>
      <c r="I57" s="12">
        <v>141.06</v>
      </c>
      <c r="J57" s="12">
        <v>3752</v>
      </c>
      <c r="K57" s="12">
        <v>377901.44</v>
      </c>
      <c r="L57" s="12">
        <v>529257.12</v>
      </c>
      <c r="M57" s="17">
        <v>151355.68</v>
      </c>
      <c r="N57" s="17">
        <v>40.049999999999997</v>
      </c>
      <c r="O57" s="16" t="s">
        <v>33</v>
      </c>
      <c r="P57" s="12">
        <v>0.3241</v>
      </c>
      <c r="Q57" s="12">
        <v>0.91</v>
      </c>
    </row>
    <row r="58" spans="1:17" x14ac:dyDescent="0.35">
      <c r="A58" s="18" t="s">
        <v>184</v>
      </c>
      <c r="B58" s="18" t="s">
        <v>185</v>
      </c>
      <c r="C58" s="19" t="s">
        <v>150</v>
      </c>
      <c r="D58" s="18" t="s">
        <v>151</v>
      </c>
      <c r="E58" s="20" t="s">
        <v>55</v>
      </c>
      <c r="F58" s="21" t="s">
        <v>62</v>
      </c>
      <c r="G58" s="18" t="s">
        <v>24</v>
      </c>
      <c r="H58" s="18">
        <v>160.88999999999999</v>
      </c>
      <c r="I58" s="18">
        <v>172.51</v>
      </c>
      <c r="J58" s="18">
        <v>4069</v>
      </c>
      <c r="K58" s="18">
        <v>654661.41</v>
      </c>
      <c r="L58" s="18">
        <v>701943.19</v>
      </c>
      <c r="M58" s="22">
        <v>47281.78</v>
      </c>
      <c r="N58" s="22">
        <v>7.22</v>
      </c>
      <c r="O58" s="22" t="s">
        <v>25</v>
      </c>
      <c r="P58" s="18">
        <v>0.15329999999999999</v>
      </c>
      <c r="Q58" s="18">
        <v>0.94</v>
      </c>
    </row>
    <row r="59" spans="1:17" x14ac:dyDescent="0.35">
      <c r="A59" s="12" t="s">
        <v>186</v>
      </c>
      <c r="B59" s="12" t="s">
        <v>187</v>
      </c>
      <c r="C59" s="13" t="s">
        <v>83</v>
      </c>
      <c r="D59" s="12" t="s">
        <v>84</v>
      </c>
      <c r="E59" s="14" t="s">
        <v>55</v>
      </c>
      <c r="F59" s="15" t="s">
        <v>62</v>
      </c>
      <c r="G59" s="12" t="s">
        <v>65</v>
      </c>
      <c r="H59" s="12">
        <v>338.77</v>
      </c>
      <c r="I59" s="12">
        <v>352.96</v>
      </c>
      <c r="J59" s="12">
        <v>760</v>
      </c>
      <c r="K59" s="12">
        <v>257465.2</v>
      </c>
      <c r="L59" s="12">
        <v>268249.59999999998</v>
      </c>
      <c r="M59" s="17">
        <v>10784.4</v>
      </c>
      <c r="N59" s="17">
        <v>4.1900000000000004</v>
      </c>
      <c r="O59" s="17" t="s">
        <v>25</v>
      </c>
      <c r="P59" s="12">
        <v>0.41839999999999999</v>
      </c>
      <c r="Q59" s="12">
        <v>1.45</v>
      </c>
    </row>
    <row r="60" spans="1:17" x14ac:dyDescent="0.35">
      <c r="A60" s="18" t="s">
        <v>188</v>
      </c>
      <c r="B60" s="18" t="s">
        <v>189</v>
      </c>
      <c r="C60" s="19" t="s">
        <v>60</v>
      </c>
      <c r="D60" s="18" t="s">
        <v>61</v>
      </c>
      <c r="E60" s="20" t="s">
        <v>22</v>
      </c>
      <c r="F60" s="21" t="s">
        <v>98</v>
      </c>
      <c r="G60" s="18" t="s">
        <v>32</v>
      </c>
      <c r="H60" s="18">
        <v>138.57</v>
      </c>
      <c r="I60" s="18">
        <v>127.98</v>
      </c>
      <c r="J60" s="18">
        <v>4545</v>
      </c>
      <c r="K60" s="18">
        <v>629800.65</v>
      </c>
      <c r="L60" s="18">
        <v>581669.1</v>
      </c>
      <c r="M60" s="23">
        <v>-48131.55</v>
      </c>
      <c r="N60" s="23">
        <v>-7.64</v>
      </c>
      <c r="O60" s="22" t="s">
        <v>25</v>
      </c>
      <c r="P60" s="18">
        <v>0.47810000000000002</v>
      </c>
      <c r="Q60" s="18">
        <v>1.07</v>
      </c>
    </row>
    <row r="61" spans="1:17" x14ac:dyDescent="0.35">
      <c r="A61" s="12" t="s">
        <v>190</v>
      </c>
      <c r="B61" s="12" t="s">
        <v>191</v>
      </c>
      <c r="C61" s="13" t="s">
        <v>28</v>
      </c>
      <c r="D61" s="12" t="s">
        <v>29</v>
      </c>
      <c r="E61" s="14" t="s">
        <v>30</v>
      </c>
      <c r="F61" s="15" t="s">
        <v>62</v>
      </c>
      <c r="G61" s="12" t="s">
        <v>32</v>
      </c>
      <c r="H61" s="12">
        <v>238.34</v>
      </c>
      <c r="I61" s="12">
        <v>367.02</v>
      </c>
      <c r="J61" s="12">
        <v>3216</v>
      </c>
      <c r="K61" s="12">
        <v>766501.44</v>
      </c>
      <c r="L61" s="12">
        <v>1180336.32</v>
      </c>
      <c r="M61" s="17">
        <v>413834.88</v>
      </c>
      <c r="N61" s="17">
        <v>53.99</v>
      </c>
      <c r="O61" s="16" t="s">
        <v>33</v>
      </c>
      <c r="P61" s="12">
        <v>0.24840000000000001</v>
      </c>
      <c r="Q61" s="12">
        <v>1.07</v>
      </c>
    </row>
    <row r="62" spans="1:17" x14ac:dyDescent="0.35">
      <c r="A62" s="18" t="s">
        <v>192</v>
      </c>
      <c r="B62" s="18" t="s">
        <v>69</v>
      </c>
      <c r="C62" s="19" t="s">
        <v>42</v>
      </c>
      <c r="D62" s="18" t="s">
        <v>43</v>
      </c>
      <c r="E62" s="20" t="s">
        <v>44</v>
      </c>
      <c r="F62" s="21" t="s">
        <v>38</v>
      </c>
      <c r="G62" s="18" t="s">
        <v>39</v>
      </c>
      <c r="H62" s="18">
        <v>512.53</v>
      </c>
      <c r="I62" s="18">
        <v>432.27</v>
      </c>
      <c r="J62" s="18">
        <v>1897</v>
      </c>
      <c r="K62" s="18">
        <v>972269.41</v>
      </c>
      <c r="L62" s="18">
        <v>820016.19</v>
      </c>
      <c r="M62" s="23">
        <v>-152253.22</v>
      </c>
      <c r="N62" s="23">
        <v>-15.66</v>
      </c>
      <c r="O62" s="24" t="s">
        <v>45</v>
      </c>
      <c r="P62" s="18">
        <v>0.28720000000000001</v>
      </c>
      <c r="Q62" s="18">
        <v>1.4</v>
      </c>
    </row>
    <row r="63" spans="1:17" x14ac:dyDescent="0.35">
      <c r="A63" s="12" t="s">
        <v>193</v>
      </c>
      <c r="B63" s="12" t="s">
        <v>194</v>
      </c>
      <c r="C63" s="13" t="s">
        <v>77</v>
      </c>
      <c r="D63" s="12" t="s">
        <v>78</v>
      </c>
      <c r="E63" s="14" t="s">
        <v>44</v>
      </c>
      <c r="F63" s="15" t="s">
        <v>23</v>
      </c>
      <c r="G63" s="12" t="s">
        <v>39</v>
      </c>
      <c r="H63" s="12">
        <v>141.58000000000001</v>
      </c>
      <c r="I63" s="12">
        <v>113.44</v>
      </c>
      <c r="J63" s="12">
        <v>4475</v>
      </c>
      <c r="K63" s="12">
        <v>633570.5</v>
      </c>
      <c r="L63" s="12">
        <v>507644</v>
      </c>
      <c r="M63" s="16">
        <v>-125926.5</v>
      </c>
      <c r="N63" s="16">
        <v>-19.88</v>
      </c>
      <c r="O63" s="25" t="s">
        <v>45</v>
      </c>
      <c r="P63" s="12">
        <v>0.36270000000000002</v>
      </c>
      <c r="Q63" s="12">
        <v>0.63</v>
      </c>
    </row>
    <row r="64" spans="1:17" x14ac:dyDescent="0.35">
      <c r="A64" s="18" t="s">
        <v>195</v>
      </c>
      <c r="B64" s="18" t="s">
        <v>196</v>
      </c>
      <c r="C64" s="19" t="s">
        <v>42</v>
      </c>
      <c r="D64" s="18" t="s">
        <v>43</v>
      </c>
      <c r="E64" s="20" t="s">
        <v>44</v>
      </c>
      <c r="F64" s="21" t="s">
        <v>23</v>
      </c>
      <c r="G64" s="18" t="s">
        <v>39</v>
      </c>
      <c r="H64" s="18">
        <v>510.43</v>
      </c>
      <c r="I64" s="18">
        <v>393.33</v>
      </c>
      <c r="J64" s="18">
        <v>511</v>
      </c>
      <c r="K64" s="18">
        <v>260829.73</v>
      </c>
      <c r="L64" s="18">
        <v>200991.63</v>
      </c>
      <c r="M64" s="23">
        <v>-59838.1</v>
      </c>
      <c r="N64" s="23">
        <v>-22.94</v>
      </c>
      <c r="O64" s="23" t="s">
        <v>33</v>
      </c>
      <c r="P64" s="18">
        <v>0.3155</v>
      </c>
      <c r="Q64" s="18">
        <v>1.01</v>
      </c>
    </row>
    <row r="65" spans="1:17" x14ac:dyDescent="0.35">
      <c r="A65" s="12" t="s">
        <v>197</v>
      </c>
      <c r="B65" s="12" t="s">
        <v>198</v>
      </c>
      <c r="C65" s="13" t="s">
        <v>77</v>
      </c>
      <c r="D65" s="12" t="s">
        <v>78</v>
      </c>
      <c r="E65" s="14" t="s">
        <v>44</v>
      </c>
      <c r="F65" s="15" t="s">
        <v>98</v>
      </c>
      <c r="G65" s="12" t="s">
        <v>32</v>
      </c>
      <c r="H65" s="12">
        <v>163.53</v>
      </c>
      <c r="I65" s="12">
        <v>229.65</v>
      </c>
      <c r="J65" s="12">
        <v>770</v>
      </c>
      <c r="K65" s="12">
        <v>125918.1</v>
      </c>
      <c r="L65" s="12">
        <v>176830.5</v>
      </c>
      <c r="M65" s="17">
        <v>50912.4</v>
      </c>
      <c r="N65" s="17">
        <v>40.43</v>
      </c>
      <c r="O65" s="16" t="s">
        <v>33</v>
      </c>
      <c r="P65" s="12">
        <v>0.1424</v>
      </c>
      <c r="Q65" s="12">
        <v>1.74</v>
      </c>
    </row>
    <row r="66" spans="1:17" x14ac:dyDescent="0.35">
      <c r="A66" s="18" t="s">
        <v>199</v>
      </c>
      <c r="B66" s="18" t="s">
        <v>200</v>
      </c>
      <c r="C66" s="19" t="s">
        <v>150</v>
      </c>
      <c r="D66" s="18" t="s">
        <v>151</v>
      </c>
      <c r="E66" s="20" t="s">
        <v>55</v>
      </c>
      <c r="F66" s="21" t="s">
        <v>31</v>
      </c>
      <c r="G66" s="18" t="s">
        <v>32</v>
      </c>
      <c r="H66" s="18">
        <v>175.91</v>
      </c>
      <c r="I66" s="18">
        <v>179.35</v>
      </c>
      <c r="J66" s="18">
        <v>354</v>
      </c>
      <c r="K66" s="18">
        <v>62272.14</v>
      </c>
      <c r="L66" s="18">
        <v>63489.9</v>
      </c>
      <c r="M66" s="22">
        <v>1217.76</v>
      </c>
      <c r="N66" s="22">
        <v>1.96</v>
      </c>
      <c r="O66" s="22" t="s">
        <v>25</v>
      </c>
      <c r="P66" s="18">
        <v>0.1288</v>
      </c>
      <c r="Q66" s="18">
        <v>0.78</v>
      </c>
    </row>
    <row r="67" spans="1:17" x14ac:dyDescent="0.35">
      <c r="A67" s="12" t="s">
        <v>201</v>
      </c>
      <c r="B67" s="12" t="s">
        <v>202</v>
      </c>
      <c r="C67" s="13" t="s">
        <v>87</v>
      </c>
      <c r="D67" s="12" t="s">
        <v>88</v>
      </c>
      <c r="E67" s="14" t="s">
        <v>22</v>
      </c>
      <c r="F67" s="15" t="s">
        <v>62</v>
      </c>
      <c r="G67" s="12" t="s">
        <v>32</v>
      </c>
      <c r="H67" s="12">
        <v>346.33</v>
      </c>
      <c r="I67" s="12">
        <v>366.89</v>
      </c>
      <c r="J67" s="12">
        <v>1885</v>
      </c>
      <c r="K67" s="12">
        <v>652832.05000000005</v>
      </c>
      <c r="L67" s="12">
        <v>691587.65</v>
      </c>
      <c r="M67" s="17">
        <v>38755.599999999999</v>
      </c>
      <c r="N67" s="17">
        <v>5.94</v>
      </c>
      <c r="O67" s="17" t="s">
        <v>25</v>
      </c>
      <c r="P67" s="12">
        <v>0.27860000000000001</v>
      </c>
      <c r="Q67" s="12">
        <v>1.33</v>
      </c>
    </row>
    <row r="68" spans="1:17" x14ac:dyDescent="0.35">
      <c r="A68" s="18" t="s">
        <v>203</v>
      </c>
      <c r="B68" s="18" t="s">
        <v>204</v>
      </c>
      <c r="C68" s="19" t="s">
        <v>20</v>
      </c>
      <c r="D68" s="18" t="s">
        <v>21</v>
      </c>
      <c r="E68" s="20" t="s">
        <v>22</v>
      </c>
      <c r="F68" s="21" t="s">
        <v>31</v>
      </c>
      <c r="G68" s="18" t="s">
        <v>24</v>
      </c>
      <c r="H68" s="18">
        <v>514.62</v>
      </c>
      <c r="I68" s="18">
        <v>565.24</v>
      </c>
      <c r="J68" s="18">
        <v>4840</v>
      </c>
      <c r="K68" s="18">
        <v>2490760.7999999998</v>
      </c>
      <c r="L68" s="18">
        <v>2735761.6</v>
      </c>
      <c r="M68" s="22">
        <v>245000.8</v>
      </c>
      <c r="N68" s="22">
        <v>9.84</v>
      </c>
      <c r="O68" s="24" t="s">
        <v>45</v>
      </c>
      <c r="P68" s="18">
        <v>0.4113</v>
      </c>
      <c r="Q68" s="18">
        <v>1.75</v>
      </c>
    </row>
    <row r="69" spans="1:17" x14ac:dyDescent="0.35">
      <c r="A69" s="12" t="s">
        <v>205</v>
      </c>
      <c r="B69" s="12" t="s">
        <v>206</v>
      </c>
      <c r="C69" s="13" t="s">
        <v>77</v>
      </c>
      <c r="D69" s="12" t="s">
        <v>78</v>
      </c>
      <c r="E69" s="14" t="s">
        <v>44</v>
      </c>
      <c r="F69" s="15" t="s">
        <v>62</v>
      </c>
      <c r="G69" s="12" t="s">
        <v>32</v>
      </c>
      <c r="H69" s="12">
        <v>145.29</v>
      </c>
      <c r="I69" s="12">
        <v>206.42</v>
      </c>
      <c r="J69" s="12">
        <v>2089</v>
      </c>
      <c r="K69" s="12">
        <v>303510.81</v>
      </c>
      <c r="L69" s="12">
        <v>431211.38</v>
      </c>
      <c r="M69" s="17">
        <v>127700.57</v>
      </c>
      <c r="N69" s="17">
        <v>42.07</v>
      </c>
      <c r="O69" s="16" t="s">
        <v>33</v>
      </c>
      <c r="P69" s="12">
        <v>0.48559999999999998</v>
      </c>
      <c r="Q69" s="12">
        <v>1.32</v>
      </c>
    </row>
    <row r="70" spans="1:17" x14ac:dyDescent="0.35">
      <c r="A70" s="18" t="s">
        <v>207</v>
      </c>
      <c r="B70" s="18" t="s">
        <v>208</v>
      </c>
      <c r="C70" s="19" t="s">
        <v>20</v>
      </c>
      <c r="D70" s="18" t="s">
        <v>21</v>
      </c>
      <c r="E70" s="20" t="s">
        <v>22</v>
      </c>
      <c r="F70" s="21" t="s">
        <v>98</v>
      </c>
      <c r="G70" s="18" t="s">
        <v>32</v>
      </c>
      <c r="H70" s="18">
        <v>587.11</v>
      </c>
      <c r="I70" s="18">
        <v>668.95</v>
      </c>
      <c r="J70" s="18">
        <v>4464</v>
      </c>
      <c r="K70" s="18">
        <v>2620859.04</v>
      </c>
      <c r="L70" s="18">
        <v>2986192.8</v>
      </c>
      <c r="M70" s="22">
        <v>365333.76000000001</v>
      </c>
      <c r="N70" s="22">
        <v>13.94</v>
      </c>
      <c r="O70" s="24" t="s">
        <v>45</v>
      </c>
      <c r="P70" s="18">
        <v>0.33760000000000001</v>
      </c>
      <c r="Q70" s="18">
        <v>1.01</v>
      </c>
    </row>
    <row r="71" spans="1:17" x14ac:dyDescent="0.35">
      <c r="A71" s="12" t="s">
        <v>209</v>
      </c>
      <c r="B71" s="12" t="s">
        <v>210</v>
      </c>
      <c r="C71" s="13" t="s">
        <v>42</v>
      </c>
      <c r="D71" s="12" t="s">
        <v>43</v>
      </c>
      <c r="E71" s="14" t="s">
        <v>44</v>
      </c>
      <c r="F71" s="15" t="s">
        <v>38</v>
      </c>
      <c r="G71" s="12" t="s">
        <v>32</v>
      </c>
      <c r="H71" s="12">
        <v>572.37</v>
      </c>
      <c r="I71" s="12">
        <v>835.71</v>
      </c>
      <c r="J71" s="12">
        <v>3067</v>
      </c>
      <c r="K71" s="12">
        <v>1755458.79</v>
      </c>
      <c r="L71" s="12">
        <v>2563122.5699999998</v>
      </c>
      <c r="M71" s="17">
        <v>807663.78</v>
      </c>
      <c r="N71" s="17">
        <v>46.01</v>
      </c>
      <c r="O71" s="16" t="s">
        <v>33</v>
      </c>
      <c r="P71" s="12">
        <v>0.42409999999999998</v>
      </c>
      <c r="Q71" s="12">
        <v>1.1200000000000001</v>
      </c>
    </row>
    <row r="72" spans="1:17" x14ac:dyDescent="0.35">
      <c r="A72" s="18" t="s">
        <v>211</v>
      </c>
      <c r="B72" s="18" t="s">
        <v>212</v>
      </c>
      <c r="C72" s="19" t="s">
        <v>72</v>
      </c>
      <c r="D72" s="18" t="s">
        <v>73</v>
      </c>
      <c r="E72" s="20" t="s">
        <v>74</v>
      </c>
      <c r="F72" s="21" t="s">
        <v>62</v>
      </c>
      <c r="G72" s="18" t="s">
        <v>24</v>
      </c>
      <c r="H72" s="18">
        <v>487.08</v>
      </c>
      <c r="I72" s="18">
        <v>587.13</v>
      </c>
      <c r="J72" s="18">
        <v>4508</v>
      </c>
      <c r="K72" s="18">
        <v>2195756.64</v>
      </c>
      <c r="L72" s="18">
        <v>2646782.04</v>
      </c>
      <c r="M72" s="22">
        <v>451025.4</v>
      </c>
      <c r="N72" s="22">
        <v>20.54</v>
      </c>
      <c r="O72" s="24" t="s">
        <v>45</v>
      </c>
      <c r="P72" s="18">
        <v>0.47510000000000002</v>
      </c>
      <c r="Q72" s="18">
        <v>1.31</v>
      </c>
    </row>
    <row r="73" spans="1:17" x14ac:dyDescent="0.35">
      <c r="A73" s="12" t="s">
        <v>213</v>
      </c>
      <c r="B73" s="12" t="s">
        <v>214</v>
      </c>
      <c r="C73" s="13" t="s">
        <v>215</v>
      </c>
      <c r="D73" s="12" t="s">
        <v>216</v>
      </c>
      <c r="E73" s="14" t="s">
        <v>50</v>
      </c>
      <c r="F73" s="15" t="s">
        <v>98</v>
      </c>
      <c r="G73" s="12" t="s">
        <v>32</v>
      </c>
      <c r="H73" s="12">
        <v>147.71</v>
      </c>
      <c r="I73" s="12">
        <v>178.03</v>
      </c>
      <c r="J73" s="12">
        <v>3792</v>
      </c>
      <c r="K73" s="12">
        <v>560116.31999999995</v>
      </c>
      <c r="L73" s="12">
        <v>675089.76</v>
      </c>
      <c r="M73" s="17">
        <v>114973.44</v>
      </c>
      <c r="N73" s="17">
        <v>20.53</v>
      </c>
      <c r="O73" s="25" t="s">
        <v>45</v>
      </c>
      <c r="P73" s="12">
        <v>0.38240000000000002</v>
      </c>
      <c r="Q73" s="12">
        <v>1.05</v>
      </c>
    </row>
    <row r="74" spans="1:17" x14ac:dyDescent="0.35">
      <c r="A74" s="18" t="s">
        <v>217</v>
      </c>
      <c r="B74" s="18" t="s">
        <v>218</v>
      </c>
      <c r="C74" s="19" t="s">
        <v>178</v>
      </c>
      <c r="D74" s="18" t="s">
        <v>179</v>
      </c>
      <c r="E74" s="20" t="s">
        <v>22</v>
      </c>
      <c r="F74" s="21" t="s">
        <v>23</v>
      </c>
      <c r="G74" s="18" t="s">
        <v>65</v>
      </c>
      <c r="H74" s="18">
        <v>159.88999999999999</v>
      </c>
      <c r="I74" s="18">
        <v>230</v>
      </c>
      <c r="J74" s="18">
        <v>4094</v>
      </c>
      <c r="K74" s="18">
        <v>654589.66</v>
      </c>
      <c r="L74" s="18">
        <v>941620</v>
      </c>
      <c r="M74" s="22">
        <v>287030.34000000003</v>
      </c>
      <c r="N74" s="22">
        <v>43.85</v>
      </c>
      <c r="O74" s="23" t="s">
        <v>33</v>
      </c>
      <c r="P74" s="18">
        <v>0.26629999999999998</v>
      </c>
      <c r="Q74" s="18">
        <v>1.66</v>
      </c>
    </row>
    <row r="75" spans="1:17" x14ac:dyDescent="0.35">
      <c r="A75" s="12" t="s">
        <v>219</v>
      </c>
      <c r="B75" s="12" t="s">
        <v>220</v>
      </c>
      <c r="C75" s="13" t="s">
        <v>83</v>
      </c>
      <c r="D75" s="12" t="s">
        <v>84</v>
      </c>
      <c r="E75" s="14" t="s">
        <v>55</v>
      </c>
      <c r="F75" s="15" t="s">
        <v>62</v>
      </c>
      <c r="G75" s="12" t="s">
        <v>32</v>
      </c>
      <c r="H75" s="12">
        <v>332.76</v>
      </c>
      <c r="I75" s="12">
        <v>460.56</v>
      </c>
      <c r="J75" s="12">
        <v>1665</v>
      </c>
      <c r="K75" s="12">
        <v>554045.4</v>
      </c>
      <c r="L75" s="12">
        <v>766832.4</v>
      </c>
      <c r="M75" s="17">
        <v>212787</v>
      </c>
      <c r="N75" s="17">
        <v>38.409999999999997</v>
      </c>
      <c r="O75" s="16" t="s">
        <v>33</v>
      </c>
      <c r="P75" s="12">
        <v>0.3301</v>
      </c>
      <c r="Q75" s="12">
        <v>1.51</v>
      </c>
    </row>
    <row r="76" spans="1:17" x14ac:dyDescent="0.35">
      <c r="A76" s="18" t="s">
        <v>221</v>
      </c>
      <c r="B76" s="18" t="s">
        <v>222</v>
      </c>
      <c r="C76" s="19" t="s">
        <v>115</v>
      </c>
      <c r="D76" s="18" t="s">
        <v>116</v>
      </c>
      <c r="E76" s="20" t="s">
        <v>55</v>
      </c>
      <c r="F76" s="21" t="s">
        <v>38</v>
      </c>
      <c r="G76" s="18" t="s">
        <v>39</v>
      </c>
      <c r="H76" s="18">
        <v>684.77</v>
      </c>
      <c r="I76" s="18">
        <v>494.36</v>
      </c>
      <c r="J76" s="18">
        <v>241</v>
      </c>
      <c r="K76" s="18">
        <v>165029.57</v>
      </c>
      <c r="L76" s="18">
        <v>119140.76</v>
      </c>
      <c r="M76" s="23">
        <v>-45888.81</v>
      </c>
      <c r="N76" s="23">
        <v>-27.81</v>
      </c>
      <c r="O76" s="23" t="s">
        <v>33</v>
      </c>
      <c r="P76" s="18">
        <v>0.41749999999999998</v>
      </c>
      <c r="Q76" s="18">
        <v>0.97</v>
      </c>
    </row>
    <row r="77" spans="1:17" x14ac:dyDescent="0.35">
      <c r="A77" s="12" t="s">
        <v>223</v>
      </c>
      <c r="B77" s="12" t="s">
        <v>224</v>
      </c>
      <c r="C77" s="13" t="s">
        <v>28</v>
      </c>
      <c r="D77" s="12" t="s">
        <v>29</v>
      </c>
      <c r="E77" s="14" t="s">
        <v>30</v>
      </c>
      <c r="F77" s="15" t="s">
        <v>62</v>
      </c>
      <c r="G77" s="12" t="s">
        <v>39</v>
      </c>
      <c r="H77" s="12">
        <v>228.75</v>
      </c>
      <c r="I77" s="12">
        <v>246.7</v>
      </c>
      <c r="J77" s="12">
        <v>4449</v>
      </c>
      <c r="K77" s="12">
        <v>1017708.75</v>
      </c>
      <c r="L77" s="12">
        <v>1097568.3</v>
      </c>
      <c r="M77" s="17">
        <v>79859.55</v>
      </c>
      <c r="N77" s="17">
        <v>7.85</v>
      </c>
      <c r="O77" s="17" t="s">
        <v>25</v>
      </c>
      <c r="P77" s="12">
        <v>0.35670000000000002</v>
      </c>
      <c r="Q77" s="12">
        <v>1.02</v>
      </c>
    </row>
    <row r="78" spans="1:17" x14ac:dyDescent="0.35">
      <c r="A78" s="18" t="s">
        <v>225</v>
      </c>
      <c r="B78" s="18" t="s">
        <v>226</v>
      </c>
      <c r="C78" s="19" t="s">
        <v>119</v>
      </c>
      <c r="D78" s="18" t="s">
        <v>120</v>
      </c>
      <c r="E78" s="20" t="s">
        <v>44</v>
      </c>
      <c r="F78" s="21" t="s">
        <v>98</v>
      </c>
      <c r="G78" s="18" t="s">
        <v>24</v>
      </c>
      <c r="H78" s="18">
        <v>42.54</v>
      </c>
      <c r="I78" s="18">
        <v>43.17</v>
      </c>
      <c r="J78" s="18">
        <v>1988</v>
      </c>
      <c r="K78" s="18">
        <v>84569.52</v>
      </c>
      <c r="L78" s="18">
        <v>85821.96</v>
      </c>
      <c r="M78" s="22">
        <v>1252.44</v>
      </c>
      <c r="N78" s="22">
        <v>1.48</v>
      </c>
      <c r="O78" s="22" t="s">
        <v>25</v>
      </c>
      <c r="P78" s="18">
        <v>0.1714</v>
      </c>
      <c r="Q78" s="18">
        <v>1.24</v>
      </c>
    </row>
    <row r="79" spans="1:17" x14ac:dyDescent="0.35">
      <c r="A79" s="12" t="s">
        <v>227</v>
      </c>
      <c r="B79" s="12" t="s">
        <v>228</v>
      </c>
      <c r="C79" s="13" t="s">
        <v>170</v>
      </c>
      <c r="D79" s="12" t="s">
        <v>171</v>
      </c>
      <c r="E79" s="14" t="s">
        <v>97</v>
      </c>
      <c r="F79" s="15" t="s">
        <v>38</v>
      </c>
      <c r="G79" s="12" t="s">
        <v>39</v>
      </c>
      <c r="H79" s="12">
        <v>154.77000000000001</v>
      </c>
      <c r="I79" s="12">
        <v>165.49</v>
      </c>
      <c r="J79" s="12">
        <v>2365</v>
      </c>
      <c r="K79" s="12">
        <v>366031.05</v>
      </c>
      <c r="L79" s="12">
        <v>391383.85</v>
      </c>
      <c r="M79" s="17">
        <v>25352.799999999999</v>
      </c>
      <c r="N79" s="17">
        <v>6.93</v>
      </c>
      <c r="O79" s="17" t="s">
        <v>25</v>
      </c>
      <c r="P79" s="12">
        <v>0.34560000000000002</v>
      </c>
      <c r="Q79" s="12">
        <v>0.94</v>
      </c>
    </row>
    <row r="80" spans="1:17" x14ac:dyDescent="0.35">
      <c r="A80" s="18" t="s">
        <v>229</v>
      </c>
      <c r="B80" s="18" t="s">
        <v>230</v>
      </c>
      <c r="C80" s="19" t="s">
        <v>20</v>
      </c>
      <c r="D80" s="18" t="s">
        <v>21</v>
      </c>
      <c r="E80" s="20" t="s">
        <v>22</v>
      </c>
      <c r="F80" s="21" t="s">
        <v>23</v>
      </c>
      <c r="G80" s="18" t="s">
        <v>24</v>
      </c>
      <c r="H80" s="18">
        <v>542.29999999999995</v>
      </c>
      <c r="I80" s="18">
        <v>482.59</v>
      </c>
      <c r="J80" s="18">
        <v>3056</v>
      </c>
      <c r="K80" s="18">
        <v>1657268.8</v>
      </c>
      <c r="L80" s="18">
        <v>1474795.04</v>
      </c>
      <c r="M80" s="23">
        <v>-182473.76</v>
      </c>
      <c r="N80" s="23">
        <v>-11.01</v>
      </c>
      <c r="O80" s="24" t="s">
        <v>45</v>
      </c>
      <c r="P80" s="18">
        <v>0.34970000000000001</v>
      </c>
      <c r="Q80" s="18">
        <v>0.93</v>
      </c>
    </row>
    <row r="81" spans="1:17" x14ac:dyDescent="0.35">
      <c r="A81" s="12" t="s">
        <v>231</v>
      </c>
      <c r="B81" s="12" t="s">
        <v>232</v>
      </c>
      <c r="C81" s="13" t="s">
        <v>103</v>
      </c>
      <c r="D81" s="12" t="s">
        <v>104</v>
      </c>
      <c r="E81" s="14" t="s">
        <v>22</v>
      </c>
      <c r="F81" s="15" t="s">
        <v>23</v>
      </c>
      <c r="G81" s="12" t="s">
        <v>24</v>
      </c>
      <c r="H81" s="12">
        <v>281.85000000000002</v>
      </c>
      <c r="I81" s="12">
        <v>250.45</v>
      </c>
      <c r="J81" s="12">
        <v>4121</v>
      </c>
      <c r="K81" s="12">
        <v>1161503.8500000001</v>
      </c>
      <c r="L81" s="12">
        <v>1032104.45</v>
      </c>
      <c r="M81" s="16">
        <v>-129399.4</v>
      </c>
      <c r="N81" s="16">
        <v>-11.14</v>
      </c>
      <c r="O81" s="25" t="s">
        <v>45</v>
      </c>
      <c r="P81" s="12">
        <v>0.24229999999999999</v>
      </c>
      <c r="Q81" s="12">
        <v>1.17</v>
      </c>
    </row>
    <row r="82" spans="1:17" x14ac:dyDescent="0.35">
      <c r="A82" s="18" t="s">
        <v>233</v>
      </c>
      <c r="B82" s="18" t="s">
        <v>234</v>
      </c>
      <c r="C82" s="19" t="s">
        <v>215</v>
      </c>
      <c r="D82" s="18" t="s">
        <v>216</v>
      </c>
      <c r="E82" s="20" t="s">
        <v>50</v>
      </c>
      <c r="F82" s="21" t="s">
        <v>98</v>
      </c>
      <c r="G82" s="18" t="s">
        <v>32</v>
      </c>
      <c r="H82" s="18">
        <v>141.47999999999999</v>
      </c>
      <c r="I82" s="18">
        <v>130.97</v>
      </c>
      <c r="J82" s="18">
        <v>4013</v>
      </c>
      <c r="K82" s="18">
        <v>567759.24</v>
      </c>
      <c r="L82" s="18">
        <v>525582.61</v>
      </c>
      <c r="M82" s="23">
        <v>-42176.63</v>
      </c>
      <c r="N82" s="23">
        <v>-7.43</v>
      </c>
      <c r="O82" s="22" t="s">
        <v>25</v>
      </c>
      <c r="P82" s="18">
        <v>0.33150000000000002</v>
      </c>
      <c r="Q82" s="18">
        <v>1.29</v>
      </c>
    </row>
    <row r="83" spans="1:17" x14ac:dyDescent="0.35">
      <c r="A83" s="12" t="s">
        <v>235</v>
      </c>
      <c r="B83" s="12" t="s">
        <v>236</v>
      </c>
      <c r="C83" s="13" t="s">
        <v>103</v>
      </c>
      <c r="D83" s="12" t="s">
        <v>104</v>
      </c>
      <c r="E83" s="14" t="s">
        <v>22</v>
      </c>
      <c r="F83" s="15" t="s">
        <v>62</v>
      </c>
      <c r="G83" s="12" t="s">
        <v>32</v>
      </c>
      <c r="H83" s="12">
        <v>280.18</v>
      </c>
      <c r="I83" s="12">
        <v>295.24</v>
      </c>
      <c r="J83" s="12">
        <v>2589</v>
      </c>
      <c r="K83" s="12">
        <v>725386.02</v>
      </c>
      <c r="L83" s="12">
        <v>764376.36</v>
      </c>
      <c r="M83" s="17">
        <v>38990.339999999997</v>
      </c>
      <c r="N83" s="17">
        <v>5.38</v>
      </c>
      <c r="O83" s="17" t="s">
        <v>25</v>
      </c>
      <c r="P83" s="12">
        <v>0.36</v>
      </c>
      <c r="Q83" s="12">
        <v>1.1000000000000001</v>
      </c>
    </row>
    <row r="84" spans="1:17" x14ac:dyDescent="0.35">
      <c r="A84" s="18" t="s">
        <v>237</v>
      </c>
      <c r="B84" s="18" t="s">
        <v>238</v>
      </c>
      <c r="C84" s="19" t="s">
        <v>53</v>
      </c>
      <c r="D84" s="18" t="s">
        <v>54</v>
      </c>
      <c r="E84" s="20" t="s">
        <v>55</v>
      </c>
      <c r="F84" s="21" t="s">
        <v>62</v>
      </c>
      <c r="G84" s="18" t="s">
        <v>39</v>
      </c>
      <c r="H84" s="18">
        <v>88.66</v>
      </c>
      <c r="I84" s="18">
        <v>73.02</v>
      </c>
      <c r="J84" s="18">
        <v>3216</v>
      </c>
      <c r="K84" s="18">
        <v>285130.56</v>
      </c>
      <c r="L84" s="18">
        <v>234832.32</v>
      </c>
      <c r="M84" s="23">
        <v>-50298.239999999998</v>
      </c>
      <c r="N84" s="23">
        <v>-17.64</v>
      </c>
      <c r="O84" s="24" t="s">
        <v>45</v>
      </c>
      <c r="P84" s="18">
        <v>0.4899</v>
      </c>
      <c r="Q84" s="18">
        <v>1.79</v>
      </c>
    </row>
    <row r="85" spans="1:17" x14ac:dyDescent="0.35">
      <c r="A85" s="12" t="s">
        <v>239</v>
      </c>
      <c r="B85" s="12" t="s">
        <v>240</v>
      </c>
      <c r="C85" s="13" t="s">
        <v>137</v>
      </c>
      <c r="D85" s="12" t="s">
        <v>138</v>
      </c>
      <c r="E85" s="14" t="s">
        <v>50</v>
      </c>
      <c r="F85" s="15" t="s">
        <v>62</v>
      </c>
      <c r="G85" s="12" t="s">
        <v>32</v>
      </c>
      <c r="H85" s="12">
        <v>119.1</v>
      </c>
      <c r="I85" s="12">
        <v>122.13</v>
      </c>
      <c r="J85" s="12">
        <v>912</v>
      </c>
      <c r="K85" s="12">
        <v>108619.2</v>
      </c>
      <c r="L85" s="12">
        <v>111382.56</v>
      </c>
      <c r="M85" s="17">
        <v>2763.36</v>
      </c>
      <c r="N85" s="17">
        <v>2.54</v>
      </c>
      <c r="O85" s="17" t="s">
        <v>25</v>
      </c>
      <c r="P85" s="12">
        <v>0.2107</v>
      </c>
      <c r="Q85" s="12">
        <v>1.39</v>
      </c>
    </row>
    <row r="86" spans="1:17" x14ac:dyDescent="0.35">
      <c r="A86" s="18" t="s">
        <v>241</v>
      </c>
      <c r="B86" s="18" t="s">
        <v>242</v>
      </c>
      <c r="C86" s="19" t="s">
        <v>170</v>
      </c>
      <c r="D86" s="18" t="s">
        <v>171</v>
      </c>
      <c r="E86" s="20" t="s">
        <v>97</v>
      </c>
      <c r="F86" s="21" t="s">
        <v>62</v>
      </c>
      <c r="G86" s="18" t="s">
        <v>32</v>
      </c>
      <c r="H86" s="18">
        <v>130.06</v>
      </c>
      <c r="I86" s="18">
        <v>151.65</v>
      </c>
      <c r="J86" s="18">
        <v>714</v>
      </c>
      <c r="K86" s="18">
        <v>92862.84</v>
      </c>
      <c r="L86" s="18">
        <v>108278.1</v>
      </c>
      <c r="M86" s="22">
        <v>15415.26</v>
      </c>
      <c r="N86" s="22">
        <v>16.600000000000001</v>
      </c>
      <c r="O86" s="24" t="s">
        <v>45</v>
      </c>
      <c r="P86" s="18">
        <v>0.41639999999999999</v>
      </c>
      <c r="Q86" s="18">
        <v>1.1599999999999999</v>
      </c>
    </row>
    <row r="87" spans="1:17" x14ac:dyDescent="0.35">
      <c r="A87" s="12" t="s">
        <v>243</v>
      </c>
      <c r="B87" s="12" t="s">
        <v>244</v>
      </c>
      <c r="C87" s="13" t="s">
        <v>103</v>
      </c>
      <c r="D87" s="12" t="s">
        <v>104</v>
      </c>
      <c r="E87" s="14" t="s">
        <v>22</v>
      </c>
      <c r="F87" s="15" t="s">
        <v>98</v>
      </c>
      <c r="G87" s="12" t="s">
        <v>24</v>
      </c>
      <c r="H87" s="12">
        <v>278.83</v>
      </c>
      <c r="I87" s="12">
        <v>290.93</v>
      </c>
      <c r="J87" s="12">
        <v>3819</v>
      </c>
      <c r="K87" s="12">
        <v>1064851.77</v>
      </c>
      <c r="L87" s="12">
        <v>1111061.67</v>
      </c>
      <c r="M87" s="17">
        <v>46209.9</v>
      </c>
      <c r="N87" s="17">
        <v>4.34</v>
      </c>
      <c r="O87" s="17" t="s">
        <v>25</v>
      </c>
      <c r="P87" s="12">
        <v>0.23380000000000001</v>
      </c>
      <c r="Q87" s="12">
        <v>1.55</v>
      </c>
    </row>
    <row r="88" spans="1:17" x14ac:dyDescent="0.35">
      <c r="A88" s="18" t="s">
        <v>245</v>
      </c>
      <c r="B88" s="18" t="s">
        <v>246</v>
      </c>
      <c r="C88" s="19" t="s">
        <v>28</v>
      </c>
      <c r="D88" s="18" t="s">
        <v>29</v>
      </c>
      <c r="E88" s="20" t="s">
        <v>30</v>
      </c>
      <c r="F88" s="21" t="s">
        <v>38</v>
      </c>
      <c r="G88" s="18" t="s">
        <v>39</v>
      </c>
      <c r="H88" s="18">
        <v>243.21</v>
      </c>
      <c r="I88" s="18">
        <v>223.25</v>
      </c>
      <c r="J88" s="18">
        <v>1040</v>
      </c>
      <c r="K88" s="18">
        <v>252938.4</v>
      </c>
      <c r="L88" s="18">
        <v>232180</v>
      </c>
      <c r="M88" s="23">
        <v>-20758.400000000001</v>
      </c>
      <c r="N88" s="23">
        <v>-8.2100000000000009</v>
      </c>
      <c r="O88" s="24" t="s">
        <v>45</v>
      </c>
      <c r="P88" s="18">
        <v>0.51060000000000005</v>
      </c>
      <c r="Q88" s="18">
        <v>1.59</v>
      </c>
    </row>
    <row r="89" spans="1:17" x14ac:dyDescent="0.35">
      <c r="A89" s="12" t="s">
        <v>247</v>
      </c>
      <c r="B89" s="12" t="s">
        <v>248</v>
      </c>
      <c r="C89" s="13" t="s">
        <v>60</v>
      </c>
      <c r="D89" s="12" t="s">
        <v>61</v>
      </c>
      <c r="E89" s="14" t="s">
        <v>22</v>
      </c>
      <c r="F89" s="15" t="s">
        <v>98</v>
      </c>
      <c r="G89" s="12" t="s">
        <v>32</v>
      </c>
      <c r="H89" s="12">
        <v>150.46</v>
      </c>
      <c r="I89" s="12">
        <v>192.35</v>
      </c>
      <c r="J89" s="12">
        <v>4974</v>
      </c>
      <c r="K89" s="12">
        <v>748388.04</v>
      </c>
      <c r="L89" s="12">
        <v>956748.9</v>
      </c>
      <c r="M89" s="17">
        <v>208360.86</v>
      </c>
      <c r="N89" s="17">
        <v>27.84</v>
      </c>
      <c r="O89" s="16" t="s">
        <v>33</v>
      </c>
      <c r="P89" s="12">
        <v>0.24410000000000001</v>
      </c>
      <c r="Q89" s="12">
        <v>0.75</v>
      </c>
    </row>
    <row r="90" spans="1:17" x14ac:dyDescent="0.35">
      <c r="A90" s="18" t="s">
        <v>249</v>
      </c>
      <c r="B90" s="18" t="s">
        <v>250</v>
      </c>
      <c r="C90" s="19" t="s">
        <v>137</v>
      </c>
      <c r="D90" s="18" t="s">
        <v>138</v>
      </c>
      <c r="E90" s="20" t="s">
        <v>50</v>
      </c>
      <c r="F90" s="21" t="s">
        <v>98</v>
      </c>
      <c r="G90" s="18" t="s">
        <v>32</v>
      </c>
      <c r="H90" s="18">
        <v>106.26</v>
      </c>
      <c r="I90" s="18">
        <v>126.07</v>
      </c>
      <c r="J90" s="18">
        <v>4199</v>
      </c>
      <c r="K90" s="18">
        <v>446185.74</v>
      </c>
      <c r="L90" s="18">
        <v>529367.93000000005</v>
      </c>
      <c r="M90" s="22">
        <v>83182.19</v>
      </c>
      <c r="N90" s="22">
        <v>18.64</v>
      </c>
      <c r="O90" s="24" t="s">
        <v>45</v>
      </c>
      <c r="P90" s="18">
        <v>0.37719999999999998</v>
      </c>
      <c r="Q90" s="18">
        <v>1.67</v>
      </c>
    </row>
    <row r="91" spans="1:17" x14ac:dyDescent="0.35">
      <c r="A91" s="12" t="s">
        <v>251</v>
      </c>
      <c r="B91" s="12" t="s">
        <v>47</v>
      </c>
      <c r="C91" s="13" t="s">
        <v>215</v>
      </c>
      <c r="D91" s="12" t="s">
        <v>216</v>
      </c>
      <c r="E91" s="14" t="s">
        <v>50</v>
      </c>
      <c r="F91" s="15" t="s">
        <v>31</v>
      </c>
      <c r="G91" s="12" t="s">
        <v>24</v>
      </c>
      <c r="H91" s="12">
        <v>146.99</v>
      </c>
      <c r="I91" s="12">
        <v>198.73</v>
      </c>
      <c r="J91" s="12">
        <v>848</v>
      </c>
      <c r="K91" s="12">
        <v>124647.52</v>
      </c>
      <c r="L91" s="12">
        <v>168523.04</v>
      </c>
      <c r="M91" s="17">
        <v>43875.519999999997</v>
      </c>
      <c r="N91" s="17">
        <v>35.200000000000003</v>
      </c>
      <c r="O91" s="16" t="s">
        <v>33</v>
      </c>
      <c r="P91" s="12">
        <v>0.49</v>
      </c>
      <c r="Q91" s="12">
        <v>1.3</v>
      </c>
    </row>
    <row r="92" spans="1:17" x14ac:dyDescent="0.35">
      <c r="A92" s="18" t="s">
        <v>252</v>
      </c>
      <c r="B92" s="18" t="s">
        <v>173</v>
      </c>
      <c r="C92" s="19" t="s">
        <v>178</v>
      </c>
      <c r="D92" s="18" t="s">
        <v>179</v>
      </c>
      <c r="E92" s="20" t="s">
        <v>22</v>
      </c>
      <c r="F92" s="21" t="s">
        <v>62</v>
      </c>
      <c r="G92" s="18" t="s">
        <v>24</v>
      </c>
      <c r="H92" s="18">
        <v>188.81</v>
      </c>
      <c r="I92" s="18">
        <v>189.31</v>
      </c>
      <c r="J92" s="18">
        <v>429</v>
      </c>
      <c r="K92" s="18">
        <v>80999.490000000005</v>
      </c>
      <c r="L92" s="18">
        <v>81213.990000000005</v>
      </c>
      <c r="M92" s="22">
        <v>214.5</v>
      </c>
      <c r="N92" s="22">
        <v>0.26</v>
      </c>
      <c r="O92" s="22" t="s">
        <v>25</v>
      </c>
      <c r="P92" s="18">
        <v>0.34320000000000001</v>
      </c>
      <c r="Q92" s="18">
        <v>1.1299999999999999</v>
      </c>
    </row>
    <row r="93" spans="1:17" x14ac:dyDescent="0.35">
      <c r="A93" s="12" t="s">
        <v>253</v>
      </c>
      <c r="B93" s="12" t="s">
        <v>254</v>
      </c>
      <c r="C93" s="13" t="s">
        <v>83</v>
      </c>
      <c r="D93" s="12" t="s">
        <v>84</v>
      </c>
      <c r="E93" s="14" t="s">
        <v>55</v>
      </c>
      <c r="F93" s="15" t="s">
        <v>38</v>
      </c>
      <c r="G93" s="12" t="s">
        <v>32</v>
      </c>
      <c r="H93" s="12">
        <v>376.58</v>
      </c>
      <c r="I93" s="12">
        <v>439.03</v>
      </c>
      <c r="J93" s="12">
        <v>847</v>
      </c>
      <c r="K93" s="12">
        <v>318963.26</v>
      </c>
      <c r="L93" s="12">
        <v>371858.41</v>
      </c>
      <c r="M93" s="17">
        <v>52895.15</v>
      </c>
      <c r="N93" s="17">
        <v>16.579999999999998</v>
      </c>
      <c r="O93" s="25" t="s">
        <v>45</v>
      </c>
      <c r="P93" s="12">
        <v>0.2581</v>
      </c>
      <c r="Q93" s="12">
        <v>0.73</v>
      </c>
    </row>
    <row r="94" spans="1:17" x14ac:dyDescent="0.35">
      <c r="A94" s="18" t="s">
        <v>255</v>
      </c>
      <c r="B94" s="18" t="s">
        <v>256</v>
      </c>
      <c r="C94" s="19" t="s">
        <v>170</v>
      </c>
      <c r="D94" s="18" t="s">
        <v>171</v>
      </c>
      <c r="E94" s="20" t="s">
        <v>97</v>
      </c>
      <c r="F94" s="21" t="s">
        <v>38</v>
      </c>
      <c r="G94" s="18" t="s">
        <v>32</v>
      </c>
      <c r="H94" s="18">
        <v>152.07</v>
      </c>
      <c r="I94" s="18">
        <v>176.45</v>
      </c>
      <c r="J94" s="18">
        <v>2461</v>
      </c>
      <c r="K94" s="18">
        <v>374244.27</v>
      </c>
      <c r="L94" s="18">
        <v>434243.45</v>
      </c>
      <c r="M94" s="22">
        <v>59999.18</v>
      </c>
      <c r="N94" s="22">
        <v>16.03</v>
      </c>
      <c r="O94" s="24" t="s">
        <v>45</v>
      </c>
      <c r="P94" s="18">
        <v>0.44700000000000001</v>
      </c>
      <c r="Q94" s="18">
        <v>0.64</v>
      </c>
    </row>
    <row r="95" spans="1:17" x14ac:dyDescent="0.35">
      <c r="A95" s="12" t="s">
        <v>257</v>
      </c>
      <c r="B95" s="12" t="s">
        <v>67</v>
      </c>
      <c r="C95" s="13" t="s">
        <v>60</v>
      </c>
      <c r="D95" s="12" t="s">
        <v>61</v>
      </c>
      <c r="E95" s="14" t="s">
        <v>22</v>
      </c>
      <c r="F95" s="15" t="s">
        <v>98</v>
      </c>
      <c r="G95" s="12" t="s">
        <v>24</v>
      </c>
      <c r="H95" s="12">
        <v>159.75</v>
      </c>
      <c r="I95" s="12">
        <v>185.78</v>
      </c>
      <c r="J95" s="12">
        <v>1049</v>
      </c>
      <c r="K95" s="12">
        <v>167577.75</v>
      </c>
      <c r="L95" s="12">
        <v>194883.22</v>
      </c>
      <c r="M95" s="17">
        <v>27305.47</v>
      </c>
      <c r="N95" s="17">
        <v>16.29</v>
      </c>
      <c r="O95" s="25" t="s">
        <v>45</v>
      </c>
      <c r="P95" s="12">
        <v>0.34129999999999999</v>
      </c>
      <c r="Q95" s="12">
        <v>1.79</v>
      </c>
    </row>
    <row r="96" spans="1:17" x14ac:dyDescent="0.35">
      <c r="A96" s="18" t="s">
        <v>258</v>
      </c>
      <c r="B96" s="18" t="s">
        <v>259</v>
      </c>
      <c r="C96" s="19" t="s">
        <v>36</v>
      </c>
      <c r="D96" s="18" t="s">
        <v>37</v>
      </c>
      <c r="E96" s="20" t="s">
        <v>30</v>
      </c>
      <c r="F96" s="21" t="s">
        <v>31</v>
      </c>
      <c r="G96" s="18" t="s">
        <v>32</v>
      </c>
      <c r="H96" s="18">
        <v>211.16</v>
      </c>
      <c r="I96" s="18">
        <v>277.85000000000002</v>
      </c>
      <c r="J96" s="18">
        <v>1636</v>
      </c>
      <c r="K96" s="18">
        <v>345457.76</v>
      </c>
      <c r="L96" s="18">
        <v>454562.6</v>
      </c>
      <c r="M96" s="22">
        <v>109104.84</v>
      </c>
      <c r="N96" s="22">
        <v>31.58</v>
      </c>
      <c r="O96" s="23" t="s">
        <v>33</v>
      </c>
      <c r="P96" s="18">
        <v>0.33439999999999998</v>
      </c>
      <c r="Q96" s="18">
        <v>1.1299999999999999</v>
      </c>
    </row>
    <row r="97" spans="1:17" x14ac:dyDescent="0.35">
      <c r="A97" s="12" t="s">
        <v>260</v>
      </c>
      <c r="B97" s="12" t="s">
        <v>261</v>
      </c>
      <c r="C97" s="13" t="s">
        <v>103</v>
      </c>
      <c r="D97" s="12" t="s">
        <v>104</v>
      </c>
      <c r="E97" s="14" t="s">
        <v>22</v>
      </c>
      <c r="F97" s="15" t="s">
        <v>62</v>
      </c>
      <c r="G97" s="12" t="s">
        <v>24</v>
      </c>
      <c r="H97" s="12">
        <v>361.06</v>
      </c>
      <c r="I97" s="12">
        <v>428.46</v>
      </c>
      <c r="J97" s="12">
        <v>1173</v>
      </c>
      <c r="K97" s="12">
        <v>423523.38</v>
      </c>
      <c r="L97" s="12">
        <v>502583.58</v>
      </c>
      <c r="M97" s="17">
        <v>79060.2</v>
      </c>
      <c r="N97" s="17">
        <v>18.670000000000002</v>
      </c>
      <c r="O97" s="25" t="s">
        <v>45</v>
      </c>
      <c r="P97" s="12">
        <v>0.42020000000000002</v>
      </c>
      <c r="Q97" s="12">
        <v>0.75</v>
      </c>
    </row>
    <row r="98" spans="1:17" x14ac:dyDescent="0.35">
      <c r="A98" s="18" t="s">
        <v>262</v>
      </c>
      <c r="B98" s="18" t="s">
        <v>242</v>
      </c>
      <c r="C98" s="19" t="s">
        <v>53</v>
      </c>
      <c r="D98" s="18" t="s">
        <v>54</v>
      </c>
      <c r="E98" s="20" t="s">
        <v>55</v>
      </c>
      <c r="F98" s="21" t="s">
        <v>98</v>
      </c>
      <c r="G98" s="18" t="s">
        <v>32</v>
      </c>
      <c r="H98" s="18">
        <v>76.87</v>
      </c>
      <c r="I98" s="18">
        <v>89.6</v>
      </c>
      <c r="J98" s="18">
        <v>4612</v>
      </c>
      <c r="K98" s="18">
        <v>354524.44</v>
      </c>
      <c r="L98" s="18">
        <v>413235.20000000001</v>
      </c>
      <c r="M98" s="22">
        <v>58710.76</v>
      </c>
      <c r="N98" s="22">
        <v>16.559999999999999</v>
      </c>
      <c r="O98" s="24" t="s">
        <v>45</v>
      </c>
      <c r="P98" s="18">
        <v>0.21659999999999999</v>
      </c>
      <c r="Q98" s="18">
        <v>1.61</v>
      </c>
    </row>
    <row r="99" spans="1:17" x14ac:dyDescent="0.35">
      <c r="A99" s="12" t="s">
        <v>263</v>
      </c>
      <c r="B99" s="12" t="s">
        <v>264</v>
      </c>
      <c r="C99" s="13" t="s">
        <v>20</v>
      </c>
      <c r="D99" s="12" t="s">
        <v>21</v>
      </c>
      <c r="E99" s="14" t="s">
        <v>22</v>
      </c>
      <c r="F99" s="15" t="s">
        <v>23</v>
      </c>
      <c r="G99" s="12" t="s">
        <v>32</v>
      </c>
      <c r="H99" s="12">
        <v>677.88</v>
      </c>
      <c r="I99" s="12">
        <v>735.03</v>
      </c>
      <c r="J99" s="12">
        <v>4182</v>
      </c>
      <c r="K99" s="12">
        <v>2834894.16</v>
      </c>
      <c r="L99" s="12">
        <v>3073895.46</v>
      </c>
      <c r="M99" s="17">
        <v>239001.3</v>
      </c>
      <c r="N99" s="17">
        <v>8.43</v>
      </c>
      <c r="O99" s="25" t="s">
        <v>45</v>
      </c>
      <c r="P99" s="12">
        <v>0.42330000000000001</v>
      </c>
      <c r="Q99" s="12">
        <v>1.1000000000000001</v>
      </c>
    </row>
    <row r="100" spans="1:17" x14ac:dyDescent="0.35">
      <c r="A100" s="18" t="s">
        <v>265</v>
      </c>
      <c r="B100" s="18" t="s">
        <v>266</v>
      </c>
      <c r="C100" s="19" t="s">
        <v>115</v>
      </c>
      <c r="D100" s="18" t="s">
        <v>116</v>
      </c>
      <c r="E100" s="20" t="s">
        <v>55</v>
      </c>
      <c r="F100" s="21" t="s">
        <v>38</v>
      </c>
      <c r="G100" s="18" t="s">
        <v>39</v>
      </c>
      <c r="H100" s="18">
        <v>696.85</v>
      </c>
      <c r="I100" s="18">
        <v>493.15</v>
      </c>
      <c r="J100" s="18">
        <v>4615</v>
      </c>
      <c r="K100" s="18">
        <v>3215962.75</v>
      </c>
      <c r="L100" s="18">
        <v>2275887.25</v>
      </c>
      <c r="M100" s="23">
        <v>-940075.5</v>
      </c>
      <c r="N100" s="23">
        <v>-29.23</v>
      </c>
      <c r="O100" s="23" t="s">
        <v>33</v>
      </c>
      <c r="P100" s="18">
        <v>0.37769999999999998</v>
      </c>
      <c r="Q100" s="18">
        <v>1.5</v>
      </c>
    </row>
    <row r="101" spans="1:17" x14ac:dyDescent="0.35">
      <c r="A101" s="12" t="s">
        <v>267</v>
      </c>
      <c r="B101" s="12" t="s">
        <v>268</v>
      </c>
      <c r="C101" s="13" t="s">
        <v>87</v>
      </c>
      <c r="D101" s="12" t="s">
        <v>88</v>
      </c>
      <c r="E101" s="14" t="s">
        <v>22</v>
      </c>
      <c r="F101" s="15" t="s">
        <v>38</v>
      </c>
      <c r="G101" s="12" t="s">
        <v>24</v>
      </c>
      <c r="H101" s="12">
        <v>395.6</v>
      </c>
      <c r="I101" s="12">
        <v>488.73</v>
      </c>
      <c r="J101" s="12">
        <v>2884</v>
      </c>
      <c r="K101" s="12">
        <v>1140910.3999999999</v>
      </c>
      <c r="L101" s="12">
        <v>1409497.32</v>
      </c>
      <c r="M101" s="17">
        <v>268586.92</v>
      </c>
      <c r="N101" s="17">
        <v>23.54</v>
      </c>
      <c r="O101" s="16" t="s">
        <v>33</v>
      </c>
      <c r="P101" s="12">
        <v>0.4728</v>
      </c>
      <c r="Q101" s="12">
        <v>0.94</v>
      </c>
    </row>
    <row r="102" spans="1:17" x14ac:dyDescent="0.35">
      <c r="A102" s="18" t="s">
        <v>269</v>
      </c>
      <c r="B102" s="18" t="s">
        <v>270</v>
      </c>
      <c r="C102" s="19" t="s">
        <v>137</v>
      </c>
      <c r="D102" s="18" t="s">
        <v>138</v>
      </c>
      <c r="E102" s="20" t="s">
        <v>50</v>
      </c>
      <c r="F102" s="21" t="s">
        <v>23</v>
      </c>
      <c r="G102" s="18" t="s">
        <v>39</v>
      </c>
      <c r="H102" s="18">
        <v>106.22</v>
      </c>
      <c r="I102" s="18">
        <v>82.72</v>
      </c>
      <c r="J102" s="18">
        <v>3758</v>
      </c>
      <c r="K102" s="18">
        <v>399174.76</v>
      </c>
      <c r="L102" s="18">
        <v>310861.76</v>
      </c>
      <c r="M102" s="23">
        <v>-88313</v>
      </c>
      <c r="N102" s="23">
        <v>-22.12</v>
      </c>
      <c r="O102" s="23" t="s">
        <v>33</v>
      </c>
      <c r="P102" s="18">
        <v>0.35730000000000001</v>
      </c>
      <c r="Q102" s="18">
        <v>1.25</v>
      </c>
    </row>
    <row r="103" spans="1:17" x14ac:dyDescent="0.35">
      <c r="A103" s="12" t="s">
        <v>271</v>
      </c>
      <c r="B103" s="12" t="s">
        <v>272</v>
      </c>
      <c r="C103" s="13" t="s">
        <v>119</v>
      </c>
      <c r="D103" s="12" t="s">
        <v>120</v>
      </c>
      <c r="E103" s="14" t="s">
        <v>44</v>
      </c>
      <c r="F103" s="15" t="s">
        <v>23</v>
      </c>
      <c r="G103" s="12" t="s">
        <v>39</v>
      </c>
      <c r="H103" s="12">
        <v>46.31</v>
      </c>
      <c r="I103" s="12">
        <v>46.95</v>
      </c>
      <c r="J103" s="12">
        <v>4784</v>
      </c>
      <c r="K103" s="12">
        <v>221547.04</v>
      </c>
      <c r="L103" s="12">
        <v>224608.8</v>
      </c>
      <c r="M103" s="17">
        <v>3061.76</v>
      </c>
      <c r="N103" s="17">
        <v>1.38</v>
      </c>
      <c r="O103" s="17" t="s">
        <v>25</v>
      </c>
      <c r="P103" s="12">
        <v>0.29659999999999997</v>
      </c>
      <c r="Q103" s="12">
        <v>0.98</v>
      </c>
    </row>
    <row r="104" spans="1:17" x14ac:dyDescent="0.35">
      <c r="A104" s="18" t="s">
        <v>273</v>
      </c>
      <c r="B104" s="18" t="s">
        <v>274</v>
      </c>
      <c r="C104" s="19" t="s">
        <v>115</v>
      </c>
      <c r="D104" s="18" t="s">
        <v>116</v>
      </c>
      <c r="E104" s="20" t="s">
        <v>55</v>
      </c>
      <c r="F104" s="21" t="s">
        <v>38</v>
      </c>
      <c r="G104" s="18" t="s">
        <v>32</v>
      </c>
      <c r="H104" s="18">
        <v>778.91</v>
      </c>
      <c r="I104" s="18">
        <v>705.63</v>
      </c>
      <c r="J104" s="18">
        <v>1346</v>
      </c>
      <c r="K104" s="18">
        <v>1048412.86</v>
      </c>
      <c r="L104" s="18">
        <v>949777.98</v>
      </c>
      <c r="M104" s="23">
        <v>-98634.880000000005</v>
      </c>
      <c r="N104" s="23">
        <v>-9.41</v>
      </c>
      <c r="O104" s="24" t="s">
        <v>45</v>
      </c>
      <c r="P104" s="18">
        <v>0.33600000000000002</v>
      </c>
      <c r="Q104" s="18">
        <v>1.31</v>
      </c>
    </row>
    <row r="105" spans="1:17" x14ac:dyDescent="0.35">
      <c r="A105" s="12" t="s">
        <v>275</v>
      </c>
      <c r="B105" s="12" t="s">
        <v>276</v>
      </c>
      <c r="C105" s="13" t="s">
        <v>20</v>
      </c>
      <c r="D105" s="12" t="s">
        <v>21</v>
      </c>
      <c r="E105" s="14" t="s">
        <v>22</v>
      </c>
      <c r="F105" s="15" t="s">
        <v>62</v>
      </c>
      <c r="G105" s="12" t="s">
        <v>32</v>
      </c>
      <c r="H105" s="12">
        <v>512.76</v>
      </c>
      <c r="I105" s="12">
        <v>502.97</v>
      </c>
      <c r="J105" s="12">
        <v>3843</v>
      </c>
      <c r="K105" s="12">
        <v>1970536.68</v>
      </c>
      <c r="L105" s="12">
        <v>1932913.71</v>
      </c>
      <c r="M105" s="16">
        <v>-37622.97</v>
      </c>
      <c r="N105" s="16">
        <v>-1.91</v>
      </c>
      <c r="O105" s="17" t="s">
        <v>25</v>
      </c>
      <c r="P105" s="12">
        <v>0.4945</v>
      </c>
      <c r="Q105" s="12">
        <v>1.76</v>
      </c>
    </row>
    <row r="106" spans="1:17" x14ac:dyDescent="0.35">
      <c r="A106" s="18" t="s">
        <v>277</v>
      </c>
      <c r="B106" s="18" t="s">
        <v>278</v>
      </c>
      <c r="C106" s="19" t="s">
        <v>60</v>
      </c>
      <c r="D106" s="18" t="s">
        <v>61</v>
      </c>
      <c r="E106" s="20" t="s">
        <v>22</v>
      </c>
      <c r="F106" s="21" t="s">
        <v>98</v>
      </c>
      <c r="G106" s="18" t="s">
        <v>24</v>
      </c>
      <c r="H106" s="18">
        <v>146.29</v>
      </c>
      <c r="I106" s="18">
        <v>215.96</v>
      </c>
      <c r="J106" s="18">
        <v>3356</v>
      </c>
      <c r="K106" s="18">
        <v>490949.24</v>
      </c>
      <c r="L106" s="18">
        <v>724761.76</v>
      </c>
      <c r="M106" s="22">
        <v>233812.52</v>
      </c>
      <c r="N106" s="22">
        <v>47.62</v>
      </c>
      <c r="O106" s="23" t="s">
        <v>33</v>
      </c>
      <c r="P106" s="18">
        <v>0.48649999999999999</v>
      </c>
      <c r="Q106" s="18">
        <v>1.63</v>
      </c>
    </row>
    <row r="107" spans="1:17" x14ac:dyDescent="0.35">
      <c r="A107" s="12" t="s">
        <v>279</v>
      </c>
      <c r="B107" s="12" t="s">
        <v>280</v>
      </c>
      <c r="C107" s="13" t="s">
        <v>77</v>
      </c>
      <c r="D107" s="12" t="s">
        <v>78</v>
      </c>
      <c r="E107" s="14" t="s">
        <v>44</v>
      </c>
      <c r="F107" s="15" t="s">
        <v>62</v>
      </c>
      <c r="G107" s="12" t="s">
        <v>39</v>
      </c>
      <c r="H107" s="12">
        <v>170.81</v>
      </c>
      <c r="I107" s="12">
        <v>124.35</v>
      </c>
      <c r="J107" s="12">
        <v>394</v>
      </c>
      <c r="K107" s="12">
        <v>67299.14</v>
      </c>
      <c r="L107" s="12">
        <v>48993.9</v>
      </c>
      <c r="M107" s="16">
        <v>-18305.240000000002</v>
      </c>
      <c r="N107" s="16">
        <v>-27.2</v>
      </c>
      <c r="O107" s="16" t="s">
        <v>33</v>
      </c>
      <c r="P107" s="12">
        <v>0.4143</v>
      </c>
      <c r="Q107" s="12">
        <v>0.94</v>
      </c>
    </row>
    <row r="108" spans="1:17" x14ac:dyDescent="0.35">
      <c r="A108" s="18" t="s">
        <v>281</v>
      </c>
      <c r="B108" s="18" t="s">
        <v>282</v>
      </c>
      <c r="C108" s="19" t="s">
        <v>150</v>
      </c>
      <c r="D108" s="18" t="s">
        <v>151</v>
      </c>
      <c r="E108" s="20" t="s">
        <v>55</v>
      </c>
      <c r="F108" s="21" t="s">
        <v>31</v>
      </c>
      <c r="G108" s="18" t="s">
        <v>32</v>
      </c>
      <c r="H108" s="18">
        <v>152.38</v>
      </c>
      <c r="I108" s="18">
        <v>208.12</v>
      </c>
      <c r="J108" s="18">
        <v>923</v>
      </c>
      <c r="K108" s="18">
        <v>140646.74</v>
      </c>
      <c r="L108" s="18">
        <v>192094.76</v>
      </c>
      <c r="M108" s="22">
        <v>51448.02</v>
      </c>
      <c r="N108" s="22">
        <v>36.58</v>
      </c>
      <c r="O108" s="23" t="s">
        <v>33</v>
      </c>
      <c r="P108" s="18">
        <v>0.50849999999999995</v>
      </c>
      <c r="Q108" s="18">
        <v>0.66</v>
      </c>
    </row>
    <row r="109" spans="1:17" x14ac:dyDescent="0.35">
      <c r="A109" s="12" t="s">
        <v>283</v>
      </c>
      <c r="B109" s="12" t="s">
        <v>284</v>
      </c>
      <c r="C109" s="13" t="s">
        <v>103</v>
      </c>
      <c r="D109" s="12" t="s">
        <v>104</v>
      </c>
      <c r="E109" s="14" t="s">
        <v>22</v>
      </c>
      <c r="F109" s="15" t="s">
        <v>98</v>
      </c>
      <c r="G109" s="12" t="s">
        <v>65</v>
      </c>
      <c r="H109" s="12">
        <v>285.97000000000003</v>
      </c>
      <c r="I109" s="12">
        <v>357.98</v>
      </c>
      <c r="J109" s="12">
        <v>3628</v>
      </c>
      <c r="K109" s="12">
        <v>1037499.16</v>
      </c>
      <c r="L109" s="12">
        <v>1298751.44</v>
      </c>
      <c r="M109" s="17">
        <v>261252.28</v>
      </c>
      <c r="N109" s="17">
        <v>25.18</v>
      </c>
      <c r="O109" s="16" t="s">
        <v>33</v>
      </c>
      <c r="P109" s="12">
        <v>0.36330000000000001</v>
      </c>
      <c r="Q109" s="12">
        <v>1.55</v>
      </c>
    </row>
    <row r="110" spans="1:17" x14ac:dyDescent="0.35">
      <c r="A110" s="18" t="s">
        <v>285</v>
      </c>
      <c r="B110" s="18" t="s">
        <v>286</v>
      </c>
      <c r="C110" s="19" t="s">
        <v>170</v>
      </c>
      <c r="D110" s="18" t="s">
        <v>171</v>
      </c>
      <c r="E110" s="20" t="s">
        <v>97</v>
      </c>
      <c r="F110" s="21" t="s">
        <v>62</v>
      </c>
      <c r="G110" s="18" t="s">
        <v>32</v>
      </c>
      <c r="H110" s="18">
        <v>150.21</v>
      </c>
      <c r="I110" s="18">
        <v>157.51</v>
      </c>
      <c r="J110" s="18">
        <v>3233</v>
      </c>
      <c r="K110" s="18">
        <v>485628.93</v>
      </c>
      <c r="L110" s="18">
        <v>509229.83</v>
      </c>
      <c r="M110" s="22">
        <v>23600.9</v>
      </c>
      <c r="N110" s="22">
        <v>4.8600000000000003</v>
      </c>
      <c r="O110" s="22" t="s">
        <v>25</v>
      </c>
      <c r="P110" s="18">
        <v>0.51249999999999996</v>
      </c>
      <c r="Q110" s="18">
        <v>0.77</v>
      </c>
    </row>
    <row r="111" spans="1:17" x14ac:dyDescent="0.35">
      <c r="A111" s="12" t="s">
        <v>287</v>
      </c>
      <c r="B111" s="12" t="s">
        <v>288</v>
      </c>
      <c r="C111" s="13" t="s">
        <v>119</v>
      </c>
      <c r="D111" s="12" t="s">
        <v>120</v>
      </c>
      <c r="E111" s="14" t="s">
        <v>44</v>
      </c>
      <c r="F111" s="15" t="s">
        <v>38</v>
      </c>
      <c r="G111" s="12" t="s">
        <v>24</v>
      </c>
      <c r="H111" s="12">
        <v>50.4</v>
      </c>
      <c r="I111" s="12">
        <v>76.069999999999993</v>
      </c>
      <c r="J111" s="12">
        <v>2191</v>
      </c>
      <c r="K111" s="12">
        <v>110426.4</v>
      </c>
      <c r="L111" s="12">
        <v>166669.37</v>
      </c>
      <c r="M111" s="17">
        <v>56242.97</v>
      </c>
      <c r="N111" s="17">
        <v>50.93</v>
      </c>
      <c r="O111" s="16" t="s">
        <v>33</v>
      </c>
      <c r="P111" s="12">
        <v>0.3201</v>
      </c>
      <c r="Q111" s="12">
        <v>0.95</v>
      </c>
    </row>
    <row r="112" spans="1:17" x14ac:dyDescent="0.35">
      <c r="A112" s="18" t="s">
        <v>289</v>
      </c>
      <c r="B112" s="18" t="s">
        <v>290</v>
      </c>
      <c r="C112" s="19" t="s">
        <v>36</v>
      </c>
      <c r="D112" s="18" t="s">
        <v>37</v>
      </c>
      <c r="E112" s="20" t="s">
        <v>30</v>
      </c>
      <c r="F112" s="21" t="s">
        <v>38</v>
      </c>
      <c r="G112" s="18" t="s">
        <v>32</v>
      </c>
      <c r="H112" s="18">
        <v>240.72</v>
      </c>
      <c r="I112" s="18">
        <v>262.24</v>
      </c>
      <c r="J112" s="18">
        <v>2930</v>
      </c>
      <c r="K112" s="18">
        <v>705309.6</v>
      </c>
      <c r="L112" s="18">
        <v>768363.2</v>
      </c>
      <c r="M112" s="22">
        <v>63053.599999999999</v>
      </c>
      <c r="N112" s="22">
        <v>8.94</v>
      </c>
      <c r="O112" s="24" t="s">
        <v>45</v>
      </c>
      <c r="P112" s="18">
        <v>0.53369999999999995</v>
      </c>
      <c r="Q112" s="18">
        <v>1.43</v>
      </c>
    </row>
    <row r="113" spans="1:17" x14ac:dyDescent="0.35">
      <c r="A113" s="12" t="s">
        <v>291</v>
      </c>
      <c r="B113" s="12" t="s">
        <v>292</v>
      </c>
      <c r="C113" s="13" t="s">
        <v>119</v>
      </c>
      <c r="D113" s="12" t="s">
        <v>120</v>
      </c>
      <c r="E113" s="14" t="s">
        <v>44</v>
      </c>
      <c r="F113" s="15" t="s">
        <v>38</v>
      </c>
      <c r="G113" s="12" t="s">
        <v>39</v>
      </c>
      <c r="H113" s="12">
        <v>42.34</v>
      </c>
      <c r="I113" s="12">
        <v>33.68</v>
      </c>
      <c r="J113" s="12">
        <v>4058</v>
      </c>
      <c r="K113" s="12">
        <v>171815.72</v>
      </c>
      <c r="L113" s="12">
        <v>136673.44</v>
      </c>
      <c r="M113" s="16">
        <v>-35142.28</v>
      </c>
      <c r="N113" s="16">
        <v>-20.45</v>
      </c>
      <c r="O113" s="25" t="s">
        <v>45</v>
      </c>
      <c r="P113" s="12">
        <v>0.27439999999999998</v>
      </c>
      <c r="Q113" s="12">
        <v>0.96</v>
      </c>
    </row>
    <row r="114" spans="1:17" x14ac:dyDescent="0.35">
      <c r="A114" s="18" t="s">
        <v>293</v>
      </c>
      <c r="B114" s="18" t="s">
        <v>294</v>
      </c>
      <c r="C114" s="19" t="s">
        <v>137</v>
      </c>
      <c r="D114" s="18" t="s">
        <v>138</v>
      </c>
      <c r="E114" s="20" t="s">
        <v>50</v>
      </c>
      <c r="F114" s="21" t="s">
        <v>98</v>
      </c>
      <c r="G114" s="18" t="s">
        <v>32</v>
      </c>
      <c r="H114" s="18">
        <v>107.08</v>
      </c>
      <c r="I114" s="18">
        <v>145.63999999999999</v>
      </c>
      <c r="J114" s="18">
        <v>166</v>
      </c>
      <c r="K114" s="18">
        <v>17775.28</v>
      </c>
      <c r="L114" s="18">
        <v>24176.240000000002</v>
      </c>
      <c r="M114" s="22">
        <v>6400.96</v>
      </c>
      <c r="N114" s="22">
        <v>36.01</v>
      </c>
      <c r="O114" s="23" t="s">
        <v>33</v>
      </c>
      <c r="P114" s="18">
        <v>0.44019999999999998</v>
      </c>
      <c r="Q114" s="18">
        <v>0.66</v>
      </c>
    </row>
    <row r="115" spans="1:17" x14ac:dyDescent="0.35">
      <c r="A115" s="12" t="s">
        <v>295</v>
      </c>
      <c r="B115" s="12" t="s">
        <v>296</v>
      </c>
      <c r="C115" s="13" t="s">
        <v>53</v>
      </c>
      <c r="D115" s="12" t="s">
        <v>54</v>
      </c>
      <c r="E115" s="14" t="s">
        <v>55</v>
      </c>
      <c r="F115" s="15" t="s">
        <v>23</v>
      </c>
      <c r="G115" s="12" t="s">
        <v>24</v>
      </c>
      <c r="H115" s="12">
        <v>82.41</v>
      </c>
      <c r="I115" s="12">
        <v>83.49</v>
      </c>
      <c r="J115" s="12">
        <v>2986</v>
      </c>
      <c r="K115" s="12">
        <v>246076.26</v>
      </c>
      <c r="L115" s="12">
        <v>249301.14</v>
      </c>
      <c r="M115" s="17">
        <v>3224.88</v>
      </c>
      <c r="N115" s="17">
        <v>1.31</v>
      </c>
      <c r="O115" s="17" t="s">
        <v>25</v>
      </c>
      <c r="P115" s="12">
        <v>0.2278</v>
      </c>
      <c r="Q115" s="12">
        <v>1.51</v>
      </c>
    </row>
    <row r="116" spans="1:17" x14ac:dyDescent="0.35">
      <c r="A116" s="18" t="s">
        <v>297</v>
      </c>
      <c r="B116" s="18" t="s">
        <v>298</v>
      </c>
      <c r="C116" s="19" t="s">
        <v>87</v>
      </c>
      <c r="D116" s="18" t="s">
        <v>88</v>
      </c>
      <c r="E116" s="20" t="s">
        <v>22</v>
      </c>
      <c r="F116" s="21" t="s">
        <v>31</v>
      </c>
      <c r="G116" s="18" t="s">
        <v>32</v>
      </c>
      <c r="H116" s="18">
        <v>380.3</v>
      </c>
      <c r="I116" s="18">
        <v>343.55</v>
      </c>
      <c r="J116" s="18">
        <v>2630</v>
      </c>
      <c r="K116" s="18">
        <v>1000189</v>
      </c>
      <c r="L116" s="18">
        <v>903536.5</v>
      </c>
      <c r="M116" s="23">
        <v>-96652.5</v>
      </c>
      <c r="N116" s="23">
        <v>-9.66</v>
      </c>
      <c r="O116" s="24" t="s">
        <v>45</v>
      </c>
      <c r="P116" s="18">
        <v>0.27689999999999998</v>
      </c>
      <c r="Q116" s="18">
        <v>0.76</v>
      </c>
    </row>
    <row r="117" spans="1:17" x14ac:dyDescent="0.35">
      <c r="A117" s="12" t="s">
        <v>299</v>
      </c>
      <c r="B117" s="12" t="s">
        <v>300</v>
      </c>
      <c r="C117" s="13" t="s">
        <v>137</v>
      </c>
      <c r="D117" s="12" t="s">
        <v>138</v>
      </c>
      <c r="E117" s="14" t="s">
        <v>50</v>
      </c>
      <c r="F117" s="15" t="s">
        <v>23</v>
      </c>
      <c r="G117" s="12" t="s">
        <v>32</v>
      </c>
      <c r="H117" s="12">
        <v>93.41</v>
      </c>
      <c r="I117" s="12">
        <v>117.47</v>
      </c>
      <c r="J117" s="12">
        <v>1744</v>
      </c>
      <c r="K117" s="12">
        <v>162907.04</v>
      </c>
      <c r="L117" s="12">
        <v>204867.68</v>
      </c>
      <c r="M117" s="17">
        <v>41960.639999999999</v>
      </c>
      <c r="N117" s="17">
        <v>25.76</v>
      </c>
      <c r="O117" s="16" t="s">
        <v>33</v>
      </c>
      <c r="P117" s="12">
        <v>0.53769999999999996</v>
      </c>
      <c r="Q117" s="12">
        <v>1.24</v>
      </c>
    </row>
    <row r="118" spans="1:17" x14ac:dyDescent="0.35">
      <c r="A118" s="18" t="s">
        <v>301</v>
      </c>
      <c r="B118" s="18" t="s">
        <v>302</v>
      </c>
      <c r="C118" s="19" t="s">
        <v>83</v>
      </c>
      <c r="D118" s="18" t="s">
        <v>84</v>
      </c>
      <c r="E118" s="20" t="s">
        <v>55</v>
      </c>
      <c r="F118" s="21" t="s">
        <v>38</v>
      </c>
      <c r="G118" s="18" t="s">
        <v>24</v>
      </c>
      <c r="H118" s="18">
        <v>408.11</v>
      </c>
      <c r="I118" s="18">
        <v>455.9</v>
      </c>
      <c r="J118" s="18">
        <v>2517</v>
      </c>
      <c r="K118" s="18">
        <v>1027212.87</v>
      </c>
      <c r="L118" s="18">
        <v>1147500.3</v>
      </c>
      <c r="M118" s="22">
        <v>120287.43</v>
      </c>
      <c r="N118" s="22">
        <v>11.71</v>
      </c>
      <c r="O118" s="24" t="s">
        <v>45</v>
      </c>
      <c r="P118" s="18">
        <v>0.16950000000000001</v>
      </c>
      <c r="Q118" s="18">
        <v>1.76</v>
      </c>
    </row>
    <row r="119" spans="1:17" x14ac:dyDescent="0.35">
      <c r="A119" s="12" t="s">
        <v>303</v>
      </c>
      <c r="B119" s="12" t="s">
        <v>304</v>
      </c>
      <c r="C119" s="13" t="s">
        <v>87</v>
      </c>
      <c r="D119" s="12" t="s">
        <v>88</v>
      </c>
      <c r="E119" s="14" t="s">
        <v>22</v>
      </c>
      <c r="F119" s="15" t="s">
        <v>62</v>
      </c>
      <c r="G119" s="12" t="s">
        <v>32</v>
      </c>
      <c r="H119" s="12">
        <v>306.98</v>
      </c>
      <c r="I119" s="12">
        <v>354.93</v>
      </c>
      <c r="J119" s="12">
        <v>3096</v>
      </c>
      <c r="K119" s="12">
        <v>950410.08</v>
      </c>
      <c r="L119" s="12">
        <v>1098863.28</v>
      </c>
      <c r="M119" s="17">
        <v>148453.20000000001</v>
      </c>
      <c r="N119" s="17">
        <v>15.62</v>
      </c>
      <c r="O119" s="25" t="s">
        <v>45</v>
      </c>
      <c r="P119" s="12">
        <v>0.23369999999999999</v>
      </c>
      <c r="Q119" s="12">
        <v>0.75</v>
      </c>
    </row>
    <row r="120" spans="1:17" x14ac:dyDescent="0.35">
      <c r="A120" s="18" t="s">
        <v>305</v>
      </c>
      <c r="B120" s="18" t="s">
        <v>173</v>
      </c>
      <c r="C120" s="19" t="s">
        <v>48</v>
      </c>
      <c r="D120" s="18" t="s">
        <v>49</v>
      </c>
      <c r="E120" s="20" t="s">
        <v>50</v>
      </c>
      <c r="F120" s="21" t="s">
        <v>62</v>
      </c>
      <c r="G120" s="18" t="s">
        <v>24</v>
      </c>
      <c r="H120" s="18">
        <v>71.290000000000006</v>
      </c>
      <c r="I120" s="18">
        <v>109.66</v>
      </c>
      <c r="J120" s="18">
        <v>3221</v>
      </c>
      <c r="K120" s="18">
        <v>229625.09</v>
      </c>
      <c r="L120" s="18">
        <v>353214.86</v>
      </c>
      <c r="M120" s="22">
        <v>123589.77</v>
      </c>
      <c r="N120" s="22">
        <v>53.82</v>
      </c>
      <c r="O120" s="23" t="s">
        <v>33</v>
      </c>
      <c r="P120" s="18">
        <v>0.1666</v>
      </c>
      <c r="Q120" s="18">
        <v>0.88</v>
      </c>
    </row>
    <row r="121" spans="1:17" x14ac:dyDescent="0.35">
      <c r="A121" s="12" t="s">
        <v>306</v>
      </c>
      <c r="B121" s="12" t="s">
        <v>307</v>
      </c>
      <c r="C121" s="13" t="s">
        <v>178</v>
      </c>
      <c r="D121" s="12" t="s">
        <v>179</v>
      </c>
      <c r="E121" s="14" t="s">
        <v>22</v>
      </c>
      <c r="F121" s="15" t="s">
        <v>62</v>
      </c>
      <c r="G121" s="12" t="s">
        <v>65</v>
      </c>
      <c r="H121" s="12">
        <v>182.75</v>
      </c>
      <c r="I121" s="12">
        <v>242.1</v>
      </c>
      <c r="J121" s="12">
        <v>1913</v>
      </c>
      <c r="K121" s="12">
        <v>349600.75</v>
      </c>
      <c r="L121" s="12">
        <v>463137.3</v>
      </c>
      <c r="M121" s="17">
        <v>113536.55</v>
      </c>
      <c r="N121" s="17">
        <v>32.479999999999997</v>
      </c>
      <c r="O121" s="16" t="s">
        <v>33</v>
      </c>
      <c r="P121" s="12">
        <v>0.3196</v>
      </c>
      <c r="Q121" s="12">
        <v>1.44</v>
      </c>
    </row>
    <row r="122" spans="1:17" x14ac:dyDescent="0.35">
      <c r="A122" s="18" t="s">
        <v>308</v>
      </c>
      <c r="B122" s="18" t="s">
        <v>309</v>
      </c>
      <c r="C122" s="19" t="s">
        <v>42</v>
      </c>
      <c r="D122" s="18" t="s">
        <v>43</v>
      </c>
      <c r="E122" s="20" t="s">
        <v>44</v>
      </c>
      <c r="F122" s="21" t="s">
        <v>31</v>
      </c>
      <c r="G122" s="18" t="s">
        <v>32</v>
      </c>
      <c r="H122" s="18">
        <v>517.72</v>
      </c>
      <c r="I122" s="18">
        <v>634.12</v>
      </c>
      <c r="J122" s="18">
        <v>404</v>
      </c>
      <c r="K122" s="18">
        <v>209158.88</v>
      </c>
      <c r="L122" s="18">
        <v>256184.48</v>
      </c>
      <c r="M122" s="22">
        <v>47025.599999999999</v>
      </c>
      <c r="N122" s="22">
        <v>22.48</v>
      </c>
      <c r="O122" s="23" t="s">
        <v>33</v>
      </c>
      <c r="P122" s="18">
        <v>0.1618</v>
      </c>
      <c r="Q122" s="18">
        <v>1.66</v>
      </c>
    </row>
    <row r="123" spans="1:17" x14ac:dyDescent="0.35">
      <c r="A123" s="12" t="s">
        <v>310</v>
      </c>
      <c r="B123" s="12" t="s">
        <v>311</v>
      </c>
      <c r="C123" s="13" t="s">
        <v>87</v>
      </c>
      <c r="D123" s="12" t="s">
        <v>88</v>
      </c>
      <c r="E123" s="14" t="s">
        <v>22</v>
      </c>
      <c r="F123" s="15" t="s">
        <v>98</v>
      </c>
      <c r="G123" s="12" t="s">
        <v>39</v>
      </c>
      <c r="H123" s="12">
        <v>341.51</v>
      </c>
      <c r="I123" s="12">
        <v>328.34</v>
      </c>
      <c r="J123" s="12">
        <v>4525</v>
      </c>
      <c r="K123" s="12">
        <v>1545332.75</v>
      </c>
      <c r="L123" s="12">
        <v>1485738.5</v>
      </c>
      <c r="M123" s="16">
        <v>-59594.25</v>
      </c>
      <c r="N123" s="16">
        <v>-3.86</v>
      </c>
      <c r="O123" s="17" t="s">
        <v>25</v>
      </c>
      <c r="P123" s="12">
        <v>0.18640000000000001</v>
      </c>
      <c r="Q123" s="12">
        <v>1.1000000000000001</v>
      </c>
    </row>
    <row r="124" spans="1:17" x14ac:dyDescent="0.35">
      <c r="A124" s="18" t="s">
        <v>312</v>
      </c>
      <c r="B124" s="18" t="s">
        <v>210</v>
      </c>
      <c r="C124" s="19" t="s">
        <v>20</v>
      </c>
      <c r="D124" s="18" t="s">
        <v>21</v>
      </c>
      <c r="E124" s="20" t="s">
        <v>22</v>
      </c>
      <c r="F124" s="21" t="s">
        <v>98</v>
      </c>
      <c r="G124" s="18" t="s">
        <v>32</v>
      </c>
      <c r="H124" s="18">
        <v>634.25</v>
      </c>
      <c r="I124" s="18">
        <v>654.6</v>
      </c>
      <c r="J124" s="18">
        <v>368</v>
      </c>
      <c r="K124" s="18">
        <v>233404</v>
      </c>
      <c r="L124" s="18">
        <v>240892.79999999999</v>
      </c>
      <c r="M124" s="22">
        <v>7488.8</v>
      </c>
      <c r="N124" s="22">
        <v>3.21</v>
      </c>
      <c r="O124" s="22" t="s">
        <v>25</v>
      </c>
      <c r="P124" s="18">
        <v>0.31119999999999998</v>
      </c>
      <c r="Q124" s="18">
        <v>0.88</v>
      </c>
    </row>
    <row r="125" spans="1:17" x14ac:dyDescent="0.35">
      <c r="A125" s="12" t="s">
        <v>313</v>
      </c>
      <c r="B125" s="12" t="s">
        <v>314</v>
      </c>
      <c r="C125" s="13" t="s">
        <v>48</v>
      </c>
      <c r="D125" s="12" t="s">
        <v>49</v>
      </c>
      <c r="E125" s="14" t="s">
        <v>50</v>
      </c>
      <c r="F125" s="15" t="s">
        <v>62</v>
      </c>
      <c r="G125" s="12" t="s">
        <v>65</v>
      </c>
      <c r="H125" s="12">
        <v>56.43</v>
      </c>
      <c r="I125" s="12">
        <v>60.56</v>
      </c>
      <c r="J125" s="12">
        <v>3038</v>
      </c>
      <c r="K125" s="12">
        <v>171434.34</v>
      </c>
      <c r="L125" s="12">
        <v>183981.28</v>
      </c>
      <c r="M125" s="17">
        <v>12546.94</v>
      </c>
      <c r="N125" s="17">
        <v>7.32</v>
      </c>
      <c r="O125" s="17" t="s">
        <v>25</v>
      </c>
      <c r="P125" s="12">
        <v>0.5363</v>
      </c>
      <c r="Q125" s="12">
        <v>1.74</v>
      </c>
    </row>
    <row r="126" spans="1:17" x14ac:dyDescent="0.35">
      <c r="A126" s="18" t="s">
        <v>315</v>
      </c>
      <c r="B126" s="18" t="s">
        <v>316</v>
      </c>
      <c r="C126" s="19" t="s">
        <v>119</v>
      </c>
      <c r="D126" s="18" t="s">
        <v>120</v>
      </c>
      <c r="E126" s="20" t="s">
        <v>44</v>
      </c>
      <c r="F126" s="21" t="s">
        <v>62</v>
      </c>
      <c r="G126" s="18" t="s">
        <v>39</v>
      </c>
      <c r="H126" s="18">
        <v>41.53</v>
      </c>
      <c r="I126" s="18">
        <v>32.119999999999997</v>
      </c>
      <c r="J126" s="18">
        <v>274</v>
      </c>
      <c r="K126" s="18">
        <v>11379.22</v>
      </c>
      <c r="L126" s="18">
        <v>8800.8799999999992</v>
      </c>
      <c r="M126" s="23">
        <v>-2578.34</v>
      </c>
      <c r="N126" s="23">
        <v>-22.66</v>
      </c>
      <c r="O126" s="23" t="s">
        <v>33</v>
      </c>
      <c r="P126" s="18">
        <v>0.54520000000000002</v>
      </c>
      <c r="Q126" s="18">
        <v>1.54</v>
      </c>
    </row>
    <row r="127" spans="1:17" x14ac:dyDescent="0.35">
      <c r="A127" s="12" t="s">
        <v>317</v>
      </c>
      <c r="B127" s="12" t="s">
        <v>132</v>
      </c>
      <c r="C127" s="13" t="s">
        <v>95</v>
      </c>
      <c r="D127" s="12" t="s">
        <v>96</v>
      </c>
      <c r="E127" s="14" t="s">
        <v>97</v>
      </c>
      <c r="F127" s="15" t="s">
        <v>62</v>
      </c>
      <c r="G127" s="12" t="s">
        <v>39</v>
      </c>
      <c r="H127" s="12">
        <v>240.66</v>
      </c>
      <c r="I127" s="12">
        <v>175</v>
      </c>
      <c r="J127" s="12">
        <v>1869</v>
      </c>
      <c r="K127" s="12">
        <v>449793.54</v>
      </c>
      <c r="L127" s="12">
        <v>327075</v>
      </c>
      <c r="M127" s="16">
        <v>-122718.54</v>
      </c>
      <c r="N127" s="16">
        <v>-27.28</v>
      </c>
      <c r="O127" s="16" t="s">
        <v>33</v>
      </c>
      <c r="P127" s="12">
        <v>0.45300000000000001</v>
      </c>
      <c r="Q127" s="12">
        <v>1.55</v>
      </c>
    </row>
    <row r="128" spans="1:17" x14ac:dyDescent="0.35">
      <c r="A128" s="18" t="s">
        <v>318</v>
      </c>
      <c r="B128" s="18" t="s">
        <v>319</v>
      </c>
      <c r="C128" s="19" t="s">
        <v>53</v>
      </c>
      <c r="D128" s="18" t="s">
        <v>54</v>
      </c>
      <c r="E128" s="20" t="s">
        <v>55</v>
      </c>
      <c r="F128" s="21" t="s">
        <v>23</v>
      </c>
      <c r="G128" s="18" t="s">
        <v>24</v>
      </c>
      <c r="H128" s="18">
        <v>91.09</v>
      </c>
      <c r="I128" s="18">
        <v>131.07</v>
      </c>
      <c r="J128" s="18">
        <v>1164</v>
      </c>
      <c r="K128" s="18">
        <v>106028.76</v>
      </c>
      <c r="L128" s="18">
        <v>152565.48000000001</v>
      </c>
      <c r="M128" s="22">
        <v>46536.72</v>
      </c>
      <c r="N128" s="22">
        <v>43.89</v>
      </c>
      <c r="O128" s="23" t="s">
        <v>33</v>
      </c>
      <c r="P128" s="18">
        <v>0.1673</v>
      </c>
      <c r="Q128" s="18">
        <v>1.64</v>
      </c>
    </row>
    <row r="129" spans="1:17" x14ac:dyDescent="0.35">
      <c r="A129" s="12" t="s">
        <v>320</v>
      </c>
      <c r="B129" s="12" t="s">
        <v>321</v>
      </c>
      <c r="C129" s="13" t="s">
        <v>87</v>
      </c>
      <c r="D129" s="12" t="s">
        <v>88</v>
      </c>
      <c r="E129" s="14" t="s">
        <v>22</v>
      </c>
      <c r="F129" s="15" t="s">
        <v>23</v>
      </c>
      <c r="G129" s="12" t="s">
        <v>65</v>
      </c>
      <c r="H129" s="12">
        <v>331.5</v>
      </c>
      <c r="I129" s="12">
        <v>332.15</v>
      </c>
      <c r="J129" s="12">
        <v>4923</v>
      </c>
      <c r="K129" s="12">
        <v>1631974.5</v>
      </c>
      <c r="L129" s="12">
        <v>1635174.45</v>
      </c>
      <c r="M129" s="17">
        <v>3199.95</v>
      </c>
      <c r="N129" s="17">
        <v>0.2</v>
      </c>
      <c r="O129" s="17" t="s">
        <v>25</v>
      </c>
      <c r="P129" s="12">
        <v>0.14249999999999999</v>
      </c>
      <c r="Q129" s="12">
        <v>1.49</v>
      </c>
    </row>
    <row r="130" spans="1:17" x14ac:dyDescent="0.35">
      <c r="A130" s="18" t="s">
        <v>322</v>
      </c>
      <c r="B130" s="18" t="s">
        <v>323</v>
      </c>
      <c r="C130" s="19" t="s">
        <v>72</v>
      </c>
      <c r="D130" s="18" t="s">
        <v>73</v>
      </c>
      <c r="E130" s="20" t="s">
        <v>74</v>
      </c>
      <c r="F130" s="21" t="s">
        <v>38</v>
      </c>
      <c r="G130" s="18" t="s">
        <v>32</v>
      </c>
      <c r="H130" s="18">
        <v>487.53</v>
      </c>
      <c r="I130" s="18">
        <v>604.17999999999995</v>
      </c>
      <c r="J130" s="18">
        <v>3772</v>
      </c>
      <c r="K130" s="18">
        <v>1838963.16</v>
      </c>
      <c r="L130" s="18">
        <v>2278966.96</v>
      </c>
      <c r="M130" s="22">
        <v>440003.8</v>
      </c>
      <c r="N130" s="22">
        <v>23.93</v>
      </c>
      <c r="O130" s="23" t="s">
        <v>33</v>
      </c>
      <c r="P130" s="18">
        <v>0.16689999999999999</v>
      </c>
      <c r="Q130" s="18">
        <v>1.2</v>
      </c>
    </row>
    <row r="131" spans="1:17" x14ac:dyDescent="0.35">
      <c r="A131" s="12" t="s">
        <v>324</v>
      </c>
      <c r="B131" s="12" t="s">
        <v>325</v>
      </c>
      <c r="C131" s="13" t="s">
        <v>53</v>
      </c>
      <c r="D131" s="12" t="s">
        <v>54</v>
      </c>
      <c r="E131" s="14" t="s">
        <v>55</v>
      </c>
      <c r="F131" s="15" t="s">
        <v>38</v>
      </c>
      <c r="G131" s="12" t="s">
        <v>24</v>
      </c>
      <c r="H131" s="12">
        <v>78.14</v>
      </c>
      <c r="I131" s="12">
        <v>94.96</v>
      </c>
      <c r="J131" s="12">
        <v>355</v>
      </c>
      <c r="K131" s="12">
        <v>27739.7</v>
      </c>
      <c r="L131" s="12">
        <v>33710.800000000003</v>
      </c>
      <c r="M131" s="17">
        <v>5971.1</v>
      </c>
      <c r="N131" s="17">
        <v>21.53</v>
      </c>
      <c r="O131" s="25" t="s">
        <v>45</v>
      </c>
      <c r="P131" s="12">
        <v>0.29270000000000002</v>
      </c>
      <c r="Q131" s="12">
        <v>1.42</v>
      </c>
    </row>
    <row r="132" spans="1:17" x14ac:dyDescent="0.35">
      <c r="A132" s="18" t="s">
        <v>326</v>
      </c>
      <c r="B132" s="18" t="s">
        <v>327</v>
      </c>
      <c r="C132" s="19" t="s">
        <v>115</v>
      </c>
      <c r="D132" s="18" t="s">
        <v>116</v>
      </c>
      <c r="E132" s="20" t="s">
        <v>55</v>
      </c>
      <c r="F132" s="21" t="s">
        <v>31</v>
      </c>
      <c r="G132" s="18" t="s">
        <v>39</v>
      </c>
      <c r="H132" s="18">
        <v>738.37</v>
      </c>
      <c r="I132" s="18">
        <v>508.17</v>
      </c>
      <c r="J132" s="18">
        <v>761</v>
      </c>
      <c r="K132" s="18">
        <v>561899.56999999995</v>
      </c>
      <c r="L132" s="18">
        <v>386717.37</v>
      </c>
      <c r="M132" s="23">
        <v>-175182.2</v>
      </c>
      <c r="N132" s="23">
        <v>-31.18</v>
      </c>
      <c r="O132" s="23" t="s">
        <v>33</v>
      </c>
      <c r="P132" s="18">
        <v>0.17430000000000001</v>
      </c>
      <c r="Q132" s="18">
        <v>1.35</v>
      </c>
    </row>
    <row r="133" spans="1:17" x14ac:dyDescent="0.35">
      <c r="A133" s="12" t="s">
        <v>328</v>
      </c>
      <c r="B133" s="12" t="s">
        <v>329</v>
      </c>
      <c r="C133" s="13" t="s">
        <v>28</v>
      </c>
      <c r="D133" s="12" t="s">
        <v>29</v>
      </c>
      <c r="E133" s="14" t="s">
        <v>30</v>
      </c>
      <c r="F133" s="15" t="s">
        <v>38</v>
      </c>
      <c r="G133" s="12" t="s">
        <v>65</v>
      </c>
      <c r="H133" s="12">
        <v>242.2</v>
      </c>
      <c r="I133" s="12">
        <v>290.06</v>
      </c>
      <c r="J133" s="12">
        <v>4993</v>
      </c>
      <c r="K133" s="12">
        <v>1209304.6000000001</v>
      </c>
      <c r="L133" s="12">
        <v>1448269.58</v>
      </c>
      <c r="M133" s="17">
        <v>238964.98</v>
      </c>
      <c r="N133" s="17">
        <v>19.760000000000002</v>
      </c>
      <c r="O133" s="25" t="s">
        <v>45</v>
      </c>
      <c r="P133" s="12">
        <v>0.38030000000000003</v>
      </c>
      <c r="Q133" s="12">
        <v>0.72</v>
      </c>
    </row>
    <row r="134" spans="1:17" x14ac:dyDescent="0.35">
      <c r="A134" s="18" t="s">
        <v>330</v>
      </c>
      <c r="B134" s="18" t="s">
        <v>331</v>
      </c>
      <c r="C134" s="19" t="s">
        <v>20</v>
      </c>
      <c r="D134" s="18" t="s">
        <v>21</v>
      </c>
      <c r="E134" s="20" t="s">
        <v>22</v>
      </c>
      <c r="F134" s="21" t="s">
        <v>38</v>
      </c>
      <c r="G134" s="18" t="s">
        <v>39</v>
      </c>
      <c r="H134" s="18">
        <v>669.86</v>
      </c>
      <c r="I134" s="18">
        <v>542.82000000000005</v>
      </c>
      <c r="J134" s="18">
        <v>3799</v>
      </c>
      <c r="K134" s="18">
        <v>2544798.14</v>
      </c>
      <c r="L134" s="18">
        <v>2062173.18</v>
      </c>
      <c r="M134" s="23">
        <v>-482624.96</v>
      </c>
      <c r="N134" s="23">
        <v>-18.97</v>
      </c>
      <c r="O134" s="24" t="s">
        <v>45</v>
      </c>
      <c r="P134" s="18">
        <v>0.4758</v>
      </c>
      <c r="Q134" s="18">
        <v>1.08</v>
      </c>
    </row>
    <row r="135" spans="1:17" x14ac:dyDescent="0.35">
      <c r="A135" s="12" t="s">
        <v>332</v>
      </c>
      <c r="B135" s="12" t="s">
        <v>333</v>
      </c>
      <c r="C135" s="13" t="s">
        <v>20</v>
      </c>
      <c r="D135" s="12" t="s">
        <v>21</v>
      </c>
      <c r="E135" s="14" t="s">
        <v>22</v>
      </c>
      <c r="F135" s="15" t="s">
        <v>98</v>
      </c>
      <c r="G135" s="12" t="s">
        <v>32</v>
      </c>
      <c r="H135" s="12">
        <v>577.37</v>
      </c>
      <c r="I135" s="12">
        <v>569.78</v>
      </c>
      <c r="J135" s="12">
        <v>2188</v>
      </c>
      <c r="K135" s="12">
        <v>1263285.56</v>
      </c>
      <c r="L135" s="12">
        <v>1246678.6399999999</v>
      </c>
      <c r="M135" s="16">
        <v>-16606.919999999998</v>
      </c>
      <c r="N135" s="16">
        <v>-1.31</v>
      </c>
      <c r="O135" s="17" t="s">
        <v>25</v>
      </c>
      <c r="P135" s="12">
        <v>0.51690000000000003</v>
      </c>
      <c r="Q135" s="12">
        <v>0.68</v>
      </c>
    </row>
    <row r="136" spans="1:17" x14ac:dyDescent="0.35">
      <c r="A136" s="18" t="s">
        <v>334</v>
      </c>
      <c r="B136" s="18" t="s">
        <v>335</v>
      </c>
      <c r="C136" s="19" t="s">
        <v>60</v>
      </c>
      <c r="D136" s="18" t="s">
        <v>61</v>
      </c>
      <c r="E136" s="20" t="s">
        <v>22</v>
      </c>
      <c r="F136" s="21" t="s">
        <v>31</v>
      </c>
      <c r="G136" s="18" t="s">
        <v>32</v>
      </c>
      <c r="H136" s="18">
        <v>153.09</v>
      </c>
      <c r="I136" s="18">
        <v>194.34</v>
      </c>
      <c r="J136" s="18">
        <v>3152</v>
      </c>
      <c r="K136" s="18">
        <v>482539.68</v>
      </c>
      <c r="L136" s="18">
        <v>612559.68000000005</v>
      </c>
      <c r="M136" s="22">
        <v>130020</v>
      </c>
      <c r="N136" s="22">
        <v>26.94</v>
      </c>
      <c r="O136" s="23" t="s">
        <v>33</v>
      </c>
      <c r="P136" s="18">
        <v>0.37219999999999998</v>
      </c>
      <c r="Q136" s="18">
        <v>1.27</v>
      </c>
    </row>
    <row r="137" spans="1:17" x14ac:dyDescent="0.35">
      <c r="A137" s="12" t="s">
        <v>336</v>
      </c>
      <c r="B137" s="12" t="s">
        <v>337</v>
      </c>
      <c r="C137" s="13" t="s">
        <v>215</v>
      </c>
      <c r="D137" s="12" t="s">
        <v>216</v>
      </c>
      <c r="E137" s="14" t="s">
        <v>50</v>
      </c>
      <c r="F137" s="15" t="s">
        <v>38</v>
      </c>
      <c r="G137" s="12" t="s">
        <v>32</v>
      </c>
      <c r="H137" s="12">
        <v>177.93</v>
      </c>
      <c r="I137" s="12">
        <v>273.8</v>
      </c>
      <c r="J137" s="12">
        <v>2996</v>
      </c>
      <c r="K137" s="12">
        <v>533078.28</v>
      </c>
      <c r="L137" s="12">
        <v>820304.8</v>
      </c>
      <c r="M137" s="17">
        <v>287226.52</v>
      </c>
      <c r="N137" s="17">
        <v>53.88</v>
      </c>
      <c r="O137" s="16" t="s">
        <v>33</v>
      </c>
      <c r="P137" s="12">
        <v>0.3019</v>
      </c>
      <c r="Q137" s="12">
        <v>1.7</v>
      </c>
    </row>
    <row r="138" spans="1:17" x14ac:dyDescent="0.35">
      <c r="A138" s="18" t="s">
        <v>338</v>
      </c>
      <c r="B138" s="18" t="s">
        <v>339</v>
      </c>
      <c r="C138" s="19" t="s">
        <v>103</v>
      </c>
      <c r="D138" s="18" t="s">
        <v>104</v>
      </c>
      <c r="E138" s="20" t="s">
        <v>22</v>
      </c>
      <c r="F138" s="21" t="s">
        <v>98</v>
      </c>
      <c r="G138" s="18" t="s">
        <v>24</v>
      </c>
      <c r="H138" s="18">
        <v>327.48</v>
      </c>
      <c r="I138" s="18">
        <v>336.95</v>
      </c>
      <c r="J138" s="18">
        <v>948</v>
      </c>
      <c r="K138" s="18">
        <v>310451.03999999998</v>
      </c>
      <c r="L138" s="18">
        <v>319428.59999999998</v>
      </c>
      <c r="M138" s="22">
        <v>8977.56</v>
      </c>
      <c r="N138" s="22">
        <v>2.89</v>
      </c>
      <c r="O138" s="22" t="s">
        <v>25</v>
      </c>
      <c r="P138" s="18">
        <v>0.40239999999999998</v>
      </c>
      <c r="Q138" s="18">
        <v>0.87</v>
      </c>
    </row>
    <row r="139" spans="1:17" x14ac:dyDescent="0.35">
      <c r="A139" s="12" t="s">
        <v>340</v>
      </c>
      <c r="B139" s="12" t="s">
        <v>153</v>
      </c>
      <c r="C139" s="13" t="s">
        <v>20</v>
      </c>
      <c r="D139" s="12" t="s">
        <v>21</v>
      </c>
      <c r="E139" s="14" t="s">
        <v>22</v>
      </c>
      <c r="F139" s="15" t="s">
        <v>31</v>
      </c>
      <c r="G139" s="12" t="s">
        <v>65</v>
      </c>
      <c r="H139" s="12">
        <v>613.34</v>
      </c>
      <c r="I139" s="12">
        <v>886.31</v>
      </c>
      <c r="J139" s="12">
        <v>2382</v>
      </c>
      <c r="K139" s="12">
        <v>1460975.88</v>
      </c>
      <c r="L139" s="12">
        <v>2111190.42</v>
      </c>
      <c r="M139" s="17">
        <v>650214.54</v>
      </c>
      <c r="N139" s="17">
        <v>44.51</v>
      </c>
      <c r="O139" s="16" t="s">
        <v>33</v>
      </c>
      <c r="P139" s="12">
        <v>0.4834</v>
      </c>
      <c r="Q139" s="12">
        <v>1.77</v>
      </c>
    </row>
    <row r="140" spans="1:17" x14ac:dyDescent="0.35">
      <c r="A140" s="18" t="s">
        <v>341</v>
      </c>
      <c r="B140" s="18" t="s">
        <v>342</v>
      </c>
      <c r="C140" s="19" t="s">
        <v>53</v>
      </c>
      <c r="D140" s="18" t="s">
        <v>54</v>
      </c>
      <c r="E140" s="20" t="s">
        <v>55</v>
      </c>
      <c r="F140" s="21" t="s">
        <v>62</v>
      </c>
      <c r="G140" s="18" t="s">
        <v>32</v>
      </c>
      <c r="H140" s="18">
        <v>77.28</v>
      </c>
      <c r="I140" s="18">
        <v>82.79</v>
      </c>
      <c r="J140" s="18">
        <v>2290</v>
      </c>
      <c r="K140" s="18">
        <v>176971.2</v>
      </c>
      <c r="L140" s="18">
        <v>189589.1</v>
      </c>
      <c r="M140" s="22">
        <v>12617.9</v>
      </c>
      <c r="N140" s="22">
        <v>7.13</v>
      </c>
      <c r="O140" s="22" t="s">
        <v>25</v>
      </c>
      <c r="P140" s="18">
        <v>0.44779999999999998</v>
      </c>
      <c r="Q140" s="18">
        <v>1.71</v>
      </c>
    </row>
    <row r="141" spans="1:17" x14ac:dyDescent="0.35">
      <c r="A141" s="12" t="s">
        <v>343</v>
      </c>
      <c r="B141" s="12" t="s">
        <v>344</v>
      </c>
      <c r="C141" s="13" t="s">
        <v>48</v>
      </c>
      <c r="D141" s="12" t="s">
        <v>49</v>
      </c>
      <c r="E141" s="14" t="s">
        <v>50</v>
      </c>
      <c r="F141" s="15" t="s">
        <v>23</v>
      </c>
      <c r="G141" s="12" t="s">
        <v>32</v>
      </c>
      <c r="H141" s="12">
        <v>68.069999999999993</v>
      </c>
      <c r="I141" s="12">
        <v>63.22</v>
      </c>
      <c r="J141" s="12">
        <v>4739</v>
      </c>
      <c r="K141" s="12">
        <v>322583.73</v>
      </c>
      <c r="L141" s="12">
        <v>299599.58</v>
      </c>
      <c r="M141" s="16">
        <v>-22984.15</v>
      </c>
      <c r="N141" s="16">
        <v>-7.13</v>
      </c>
      <c r="O141" s="17" t="s">
        <v>25</v>
      </c>
      <c r="P141" s="12">
        <v>0.43859999999999999</v>
      </c>
      <c r="Q141" s="12">
        <v>1.77</v>
      </c>
    </row>
    <row r="142" spans="1:17" x14ac:dyDescent="0.35">
      <c r="A142" s="18" t="s">
        <v>345</v>
      </c>
      <c r="B142" s="18" t="s">
        <v>346</v>
      </c>
      <c r="C142" s="19" t="s">
        <v>60</v>
      </c>
      <c r="D142" s="18" t="s">
        <v>61</v>
      </c>
      <c r="E142" s="20" t="s">
        <v>22</v>
      </c>
      <c r="F142" s="21" t="s">
        <v>38</v>
      </c>
      <c r="G142" s="18" t="s">
        <v>39</v>
      </c>
      <c r="H142" s="18">
        <v>138.05000000000001</v>
      </c>
      <c r="I142" s="18">
        <v>95.59</v>
      </c>
      <c r="J142" s="18">
        <v>3539</v>
      </c>
      <c r="K142" s="18">
        <v>488558.95</v>
      </c>
      <c r="L142" s="18">
        <v>338293.01</v>
      </c>
      <c r="M142" s="23">
        <v>-150265.94</v>
      </c>
      <c r="N142" s="23">
        <v>-30.76</v>
      </c>
      <c r="O142" s="23" t="s">
        <v>33</v>
      </c>
      <c r="P142" s="18">
        <v>0.254</v>
      </c>
      <c r="Q142" s="18">
        <v>0.99</v>
      </c>
    </row>
    <row r="143" spans="1:17" x14ac:dyDescent="0.35">
      <c r="A143" s="12" t="s">
        <v>347</v>
      </c>
      <c r="B143" s="12" t="s">
        <v>348</v>
      </c>
      <c r="C143" s="13" t="s">
        <v>28</v>
      </c>
      <c r="D143" s="12" t="s">
        <v>29</v>
      </c>
      <c r="E143" s="14" t="s">
        <v>30</v>
      </c>
      <c r="F143" s="15" t="s">
        <v>31</v>
      </c>
      <c r="G143" s="12" t="s">
        <v>32</v>
      </c>
      <c r="H143" s="12">
        <v>215.33</v>
      </c>
      <c r="I143" s="12">
        <v>282.62</v>
      </c>
      <c r="J143" s="12">
        <v>1374</v>
      </c>
      <c r="K143" s="12">
        <v>295863.42</v>
      </c>
      <c r="L143" s="12">
        <v>388319.88</v>
      </c>
      <c r="M143" s="17">
        <v>92456.46</v>
      </c>
      <c r="N143" s="17">
        <v>31.25</v>
      </c>
      <c r="O143" s="16" t="s">
        <v>33</v>
      </c>
      <c r="P143" s="12">
        <v>0.4098</v>
      </c>
      <c r="Q143" s="12">
        <v>0.93</v>
      </c>
    </row>
    <row r="144" spans="1:17" x14ac:dyDescent="0.35">
      <c r="A144" s="18" t="s">
        <v>349</v>
      </c>
      <c r="B144" s="18" t="s">
        <v>350</v>
      </c>
      <c r="C144" s="19" t="s">
        <v>42</v>
      </c>
      <c r="D144" s="18" t="s">
        <v>43</v>
      </c>
      <c r="E144" s="20" t="s">
        <v>44</v>
      </c>
      <c r="F144" s="21" t="s">
        <v>38</v>
      </c>
      <c r="G144" s="18" t="s">
        <v>39</v>
      </c>
      <c r="H144" s="18">
        <v>503.07</v>
      </c>
      <c r="I144" s="18">
        <v>430.47</v>
      </c>
      <c r="J144" s="18">
        <v>2337</v>
      </c>
      <c r="K144" s="18">
        <v>1175674.5900000001</v>
      </c>
      <c r="L144" s="18">
        <v>1006008.39</v>
      </c>
      <c r="M144" s="23">
        <v>-169666.2</v>
      </c>
      <c r="N144" s="23">
        <v>-14.43</v>
      </c>
      <c r="O144" s="24" t="s">
        <v>45</v>
      </c>
      <c r="P144" s="18">
        <v>0.26840000000000003</v>
      </c>
      <c r="Q144" s="18">
        <v>0.73</v>
      </c>
    </row>
    <row r="145" spans="1:17" x14ac:dyDescent="0.35">
      <c r="A145" s="12" t="s">
        <v>351</v>
      </c>
      <c r="B145" s="12" t="s">
        <v>352</v>
      </c>
      <c r="C145" s="13" t="s">
        <v>28</v>
      </c>
      <c r="D145" s="12" t="s">
        <v>29</v>
      </c>
      <c r="E145" s="14" t="s">
        <v>30</v>
      </c>
      <c r="F145" s="15" t="s">
        <v>31</v>
      </c>
      <c r="G145" s="12" t="s">
        <v>24</v>
      </c>
      <c r="H145" s="12">
        <v>232.46</v>
      </c>
      <c r="I145" s="12">
        <v>302.08999999999997</v>
      </c>
      <c r="J145" s="12">
        <v>1906</v>
      </c>
      <c r="K145" s="12">
        <v>443068.76</v>
      </c>
      <c r="L145" s="12">
        <v>575783.54</v>
      </c>
      <c r="M145" s="17">
        <v>132714.78</v>
      </c>
      <c r="N145" s="17">
        <v>29.95</v>
      </c>
      <c r="O145" s="16" t="s">
        <v>33</v>
      </c>
      <c r="P145" s="12">
        <v>0.12330000000000001</v>
      </c>
      <c r="Q145" s="12">
        <v>0.96</v>
      </c>
    </row>
    <row r="146" spans="1:17" x14ac:dyDescent="0.35">
      <c r="A146" s="18" t="s">
        <v>353</v>
      </c>
      <c r="B146" s="18" t="s">
        <v>354</v>
      </c>
      <c r="C146" s="19" t="s">
        <v>95</v>
      </c>
      <c r="D146" s="18" t="s">
        <v>96</v>
      </c>
      <c r="E146" s="20" t="s">
        <v>97</v>
      </c>
      <c r="F146" s="21" t="s">
        <v>98</v>
      </c>
      <c r="G146" s="18" t="s">
        <v>24</v>
      </c>
      <c r="H146" s="18">
        <v>194.92</v>
      </c>
      <c r="I146" s="18">
        <v>239.39</v>
      </c>
      <c r="J146" s="18">
        <v>2787</v>
      </c>
      <c r="K146" s="18">
        <v>543242.04</v>
      </c>
      <c r="L146" s="18">
        <v>667179.93000000005</v>
      </c>
      <c r="M146" s="22">
        <v>123937.89</v>
      </c>
      <c r="N146" s="22">
        <v>22.81</v>
      </c>
      <c r="O146" s="23" t="s">
        <v>33</v>
      </c>
      <c r="P146" s="18">
        <v>0.30520000000000003</v>
      </c>
      <c r="Q146" s="18">
        <v>0.76</v>
      </c>
    </row>
    <row r="147" spans="1:17" x14ac:dyDescent="0.35">
      <c r="A147" s="12" t="s">
        <v>355</v>
      </c>
      <c r="B147" s="12" t="s">
        <v>356</v>
      </c>
      <c r="C147" s="13" t="s">
        <v>36</v>
      </c>
      <c r="D147" s="12" t="s">
        <v>37</v>
      </c>
      <c r="E147" s="14" t="s">
        <v>30</v>
      </c>
      <c r="F147" s="15" t="s">
        <v>62</v>
      </c>
      <c r="G147" s="12" t="s">
        <v>39</v>
      </c>
      <c r="H147" s="12">
        <v>231</v>
      </c>
      <c r="I147" s="12">
        <v>228.89</v>
      </c>
      <c r="J147" s="12">
        <v>4677</v>
      </c>
      <c r="K147" s="12">
        <v>1080387</v>
      </c>
      <c r="L147" s="12">
        <v>1070518.53</v>
      </c>
      <c r="M147" s="16">
        <v>-9868.4699999999993</v>
      </c>
      <c r="N147" s="16">
        <v>-0.91</v>
      </c>
      <c r="O147" s="17" t="s">
        <v>25</v>
      </c>
      <c r="P147" s="12">
        <v>0.151</v>
      </c>
      <c r="Q147" s="12">
        <v>1.63</v>
      </c>
    </row>
    <row r="148" spans="1:17" x14ac:dyDescent="0.35">
      <c r="A148" s="18" t="s">
        <v>357</v>
      </c>
      <c r="B148" s="18" t="s">
        <v>358</v>
      </c>
      <c r="C148" s="19" t="s">
        <v>103</v>
      </c>
      <c r="D148" s="18" t="s">
        <v>104</v>
      </c>
      <c r="E148" s="20" t="s">
        <v>22</v>
      </c>
      <c r="F148" s="21" t="s">
        <v>38</v>
      </c>
      <c r="G148" s="18" t="s">
        <v>32</v>
      </c>
      <c r="H148" s="18">
        <v>354.76</v>
      </c>
      <c r="I148" s="18">
        <v>455.17</v>
      </c>
      <c r="J148" s="18">
        <v>737</v>
      </c>
      <c r="K148" s="18">
        <v>261458.12</v>
      </c>
      <c r="L148" s="18">
        <v>335460.28999999998</v>
      </c>
      <c r="M148" s="22">
        <v>74002.17</v>
      </c>
      <c r="N148" s="22">
        <v>28.3</v>
      </c>
      <c r="O148" s="23" t="s">
        <v>33</v>
      </c>
      <c r="P148" s="18">
        <v>0.36659999999999998</v>
      </c>
      <c r="Q148" s="18">
        <v>1.45</v>
      </c>
    </row>
    <row r="149" spans="1:17" x14ac:dyDescent="0.35">
      <c r="A149" s="12" t="s">
        <v>359</v>
      </c>
      <c r="B149" s="12" t="s">
        <v>360</v>
      </c>
      <c r="C149" s="13" t="s">
        <v>42</v>
      </c>
      <c r="D149" s="12" t="s">
        <v>43</v>
      </c>
      <c r="E149" s="14" t="s">
        <v>44</v>
      </c>
      <c r="F149" s="15" t="s">
        <v>38</v>
      </c>
      <c r="G149" s="12" t="s">
        <v>32</v>
      </c>
      <c r="H149" s="12">
        <v>626.91999999999996</v>
      </c>
      <c r="I149" s="12">
        <v>627.12</v>
      </c>
      <c r="J149" s="12">
        <v>270</v>
      </c>
      <c r="K149" s="12">
        <v>169268.4</v>
      </c>
      <c r="L149" s="12">
        <v>169322.4</v>
      </c>
      <c r="M149" s="17">
        <v>54</v>
      </c>
      <c r="N149" s="17">
        <v>0.03</v>
      </c>
      <c r="O149" s="17" t="s">
        <v>25</v>
      </c>
      <c r="P149" s="12">
        <v>0.52749999999999997</v>
      </c>
      <c r="Q149" s="12">
        <v>1.1499999999999999</v>
      </c>
    </row>
    <row r="150" spans="1:17" x14ac:dyDescent="0.35">
      <c r="A150" s="18" t="s">
        <v>361</v>
      </c>
      <c r="B150" s="18" t="s">
        <v>362</v>
      </c>
      <c r="C150" s="19" t="s">
        <v>48</v>
      </c>
      <c r="D150" s="18" t="s">
        <v>49</v>
      </c>
      <c r="E150" s="20" t="s">
        <v>50</v>
      </c>
      <c r="F150" s="21" t="s">
        <v>31</v>
      </c>
      <c r="G150" s="18" t="s">
        <v>32</v>
      </c>
      <c r="H150" s="18">
        <v>63.75</v>
      </c>
      <c r="I150" s="18">
        <v>73.97</v>
      </c>
      <c r="J150" s="18">
        <v>2093</v>
      </c>
      <c r="K150" s="18">
        <v>133428.75</v>
      </c>
      <c r="L150" s="18">
        <v>154819.21</v>
      </c>
      <c r="M150" s="22">
        <v>21390.46</v>
      </c>
      <c r="N150" s="22">
        <v>16.03</v>
      </c>
      <c r="O150" s="24" t="s">
        <v>45</v>
      </c>
      <c r="P150" s="18">
        <v>0.15379999999999999</v>
      </c>
      <c r="Q150" s="18">
        <v>1.64</v>
      </c>
    </row>
    <row r="151" spans="1:17" x14ac:dyDescent="0.35">
      <c r="A151" s="12" t="s">
        <v>363</v>
      </c>
      <c r="B151" s="12" t="s">
        <v>364</v>
      </c>
      <c r="C151" s="13" t="s">
        <v>215</v>
      </c>
      <c r="D151" s="12" t="s">
        <v>216</v>
      </c>
      <c r="E151" s="14" t="s">
        <v>50</v>
      </c>
      <c r="F151" s="15" t="s">
        <v>23</v>
      </c>
      <c r="G151" s="12" t="s">
        <v>65</v>
      </c>
      <c r="H151" s="12">
        <v>160.5</v>
      </c>
      <c r="I151" s="12">
        <v>154.05000000000001</v>
      </c>
      <c r="J151" s="12">
        <v>725</v>
      </c>
      <c r="K151" s="12">
        <v>116362.5</v>
      </c>
      <c r="L151" s="12">
        <v>111686.25</v>
      </c>
      <c r="M151" s="16">
        <v>-4676.25</v>
      </c>
      <c r="N151" s="16">
        <v>-4.0199999999999996</v>
      </c>
      <c r="O151" s="17" t="s">
        <v>25</v>
      </c>
      <c r="P151" s="12">
        <v>0.33929999999999999</v>
      </c>
      <c r="Q151" s="12">
        <v>1.69</v>
      </c>
    </row>
    <row r="152" spans="1:17" x14ac:dyDescent="0.35">
      <c r="A152" s="18" t="s">
        <v>365</v>
      </c>
      <c r="B152" s="18" t="s">
        <v>155</v>
      </c>
      <c r="C152" s="19" t="s">
        <v>48</v>
      </c>
      <c r="D152" s="18" t="s">
        <v>49</v>
      </c>
      <c r="E152" s="20" t="s">
        <v>50</v>
      </c>
      <c r="F152" s="21" t="s">
        <v>23</v>
      </c>
      <c r="G152" s="18" t="s">
        <v>32</v>
      </c>
      <c r="H152" s="18">
        <v>58.11</v>
      </c>
      <c r="I152" s="18">
        <v>59.16</v>
      </c>
      <c r="J152" s="18">
        <v>942</v>
      </c>
      <c r="K152" s="18">
        <v>54739.62</v>
      </c>
      <c r="L152" s="18">
        <v>55728.72</v>
      </c>
      <c r="M152" s="22">
        <v>989.1</v>
      </c>
      <c r="N152" s="22">
        <v>1.81</v>
      </c>
      <c r="O152" s="22" t="s">
        <v>25</v>
      </c>
      <c r="P152" s="18">
        <v>0.379</v>
      </c>
      <c r="Q152" s="18">
        <v>1.51</v>
      </c>
    </row>
    <row r="153" spans="1:17" x14ac:dyDescent="0.35">
      <c r="A153" s="12" t="s">
        <v>366</v>
      </c>
      <c r="B153" s="12" t="s">
        <v>367</v>
      </c>
      <c r="C153" s="13" t="s">
        <v>60</v>
      </c>
      <c r="D153" s="12" t="s">
        <v>61</v>
      </c>
      <c r="E153" s="14" t="s">
        <v>22</v>
      </c>
      <c r="F153" s="15" t="s">
        <v>38</v>
      </c>
      <c r="G153" s="12" t="s">
        <v>39</v>
      </c>
      <c r="H153" s="12">
        <v>150.91</v>
      </c>
      <c r="I153" s="12">
        <v>124.73</v>
      </c>
      <c r="J153" s="12">
        <v>4718</v>
      </c>
      <c r="K153" s="12">
        <v>711993.38</v>
      </c>
      <c r="L153" s="12">
        <v>588476.14</v>
      </c>
      <c r="M153" s="16">
        <v>-123517.24</v>
      </c>
      <c r="N153" s="16">
        <v>-17.350000000000001</v>
      </c>
      <c r="O153" s="25" t="s">
        <v>45</v>
      </c>
      <c r="P153" s="12">
        <v>0.51739999999999997</v>
      </c>
      <c r="Q153" s="12">
        <v>1.28</v>
      </c>
    </row>
    <row r="154" spans="1:17" x14ac:dyDescent="0.35">
      <c r="A154" s="18" t="s">
        <v>368</v>
      </c>
      <c r="B154" s="18" t="s">
        <v>369</v>
      </c>
      <c r="C154" s="19" t="s">
        <v>53</v>
      </c>
      <c r="D154" s="18" t="s">
        <v>54</v>
      </c>
      <c r="E154" s="20" t="s">
        <v>55</v>
      </c>
      <c r="F154" s="21" t="s">
        <v>23</v>
      </c>
      <c r="G154" s="18" t="s">
        <v>65</v>
      </c>
      <c r="H154" s="18">
        <v>78.34</v>
      </c>
      <c r="I154" s="18">
        <v>93.19</v>
      </c>
      <c r="J154" s="18">
        <v>3702</v>
      </c>
      <c r="K154" s="18">
        <v>290014.68</v>
      </c>
      <c r="L154" s="18">
        <v>344989.38</v>
      </c>
      <c r="M154" s="22">
        <v>54974.7</v>
      </c>
      <c r="N154" s="22">
        <v>18.96</v>
      </c>
      <c r="O154" s="24" t="s">
        <v>45</v>
      </c>
      <c r="P154" s="18">
        <v>0.25019999999999998</v>
      </c>
      <c r="Q154" s="18">
        <v>0.93</v>
      </c>
    </row>
    <row r="155" spans="1:17" x14ac:dyDescent="0.35">
      <c r="A155" s="12" t="s">
        <v>370</v>
      </c>
      <c r="B155" s="12" t="s">
        <v>371</v>
      </c>
      <c r="C155" s="13" t="s">
        <v>103</v>
      </c>
      <c r="D155" s="12" t="s">
        <v>104</v>
      </c>
      <c r="E155" s="14" t="s">
        <v>22</v>
      </c>
      <c r="F155" s="15" t="s">
        <v>98</v>
      </c>
      <c r="G155" s="12" t="s">
        <v>32</v>
      </c>
      <c r="H155" s="12">
        <v>315.38</v>
      </c>
      <c r="I155" s="12">
        <v>290.08999999999997</v>
      </c>
      <c r="J155" s="12">
        <v>3882</v>
      </c>
      <c r="K155" s="12">
        <v>1224305.1599999999</v>
      </c>
      <c r="L155" s="12">
        <v>1126129.3799999999</v>
      </c>
      <c r="M155" s="16">
        <v>-98175.78</v>
      </c>
      <c r="N155" s="16">
        <v>-8.02</v>
      </c>
      <c r="O155" s="25" t="s">
        <v>45</v>
      </c>
      <c r="P155" s="12">
        <v>0.47760000000000002</v>
      </c>
      <c r="Q155" s="12">
        <v>0.69</v>
      </c>
    </row>
    <row r="156" spans="1:17" x14ac:dyDescent="0.35">
      <c r="A156" s="18" t="s">
        <v>372</v>
      </c>
      <c r="B156" s="18" t="s">
        <v>373</v>
      </c>
      <c r="C156" s="19" t="s">
        <v>60</v>
      </c>
      <c r="D156" s="18" t="s">
        <v>61</v>
      </c>
      <c r="E156" s="20" t="s">
        <v>22</v>
      </c>
      <c r="F156" s="21" t="s">
        <v>38</v>
      </c>
      <c r="G156" s="18" t="s">
        <v>32</v>
      </c>
      <c r="H156" s="18">
        <v>142.28</v>
      </c>
      <c r="I156" s="18">
        <v>204.07</v>
      </c>
      <c r="J156" s="18">
        <v>4854</v>
      </c>
      <c r="K156" s="18">
        <v>690627.12</v>
      </c>
      <c r="L156" s="18">
        <v>990555.78</v>
      </c>
      <c r="M156" s="22">
        <v>299928.65999999997</v>
      </c>
      <c r="N156" s="22">
        <v>43.43</v>
      </c>
      <c r="O156" s="23" t="s">
        <v>33</v>
      </c>
      <c r="P156" s="18">
        <v>0.50519999999999998</v>
      </c>
      <c r="Q156" s="18">
        <v>1.1399999999999999</v>
      </c>
    </row>
    <row r="157" spans="1:17" x14ac:dyDescent="0.35">
      <c r="A157" s="12" t="s">
        <v>374</v>
      </c>
      <c r="B157" s="12" t="s">
        <v>375</v>
      </c>
      <c r="C157" s="13" t="s">
        <v>28</v>
      </c>
      <c r="D157" s="12" t="s">
        <v>29</v>
      </c>
      <c r="E157" s="14" t="s">
        <v>30</v>
      </c>
      <c r="F157" s="15" t="s">
        <v>98</v>
      </c>
      <c r="G157" s="12" t="s">
        <v>39</v>
      </c>
      <c r="H157" s="12">
        <v>240.1</v>
      </c>
      <c r="I157" s="12">
        <v>254.64</v>
      </c>
      <c r="J157" s="12">
        <v>3996</v>
      </c>
      <c r="K157" s="12">
        <v>959439.6</v>
      </c>
      <c r="L157" s="12">
        <v>1017541.44</v>
      </c>
      <c r="M157" s="17">
        <v>58101.84</v>
      </c>
      <c r="N157" s="17">
        <v>6.06</v>
      </c>
      <c r="O157" s="17" t="s">
        <v>25</v>
      </c>
      <c r="P157" s="12">
        <v>0.31369999999999998</v>
      </c>
      <c r="Q157" s="12">
        <v>1.57</v>
      </c>
    </row>
    <row r="158" spans="1:17" x14ac:dyDescent="0.35">
      <c r="A158" s="18" t="s">
        <v>376</v>
      </c>
      <c r="B158" s="18" t="s">
        <v>377</v>
      </c>
      <c r="C158" s="19" t="s">
        <v>215</v>
      </c>
      <c r="D158" s="18" t="s">
        <v>216</v>
      </c>
      <c r="E158" s="20" t="s">
        <v>50</v>
      </c>
      <c r="F158" s="21" t="s">
        <v>31</v>
      </c>
      <c r="G158" s="18" t="s">
        <v>32</v>
      </c>
      <c r="H158" s="18">
        <v>169.97</v>
      </c>
      <c r="I158" s="18">
        <v>267.48</v>
      </c>
      <c r="J158" s="18">
        <v>2129</v>
      </c>
      <c r="K158" s="18">
        <v>361866.13</v>
      </c>
      <c r="L158" s="18">
        <v>569464.92000000004</v>
      </c>
      <c r="M158" s="22">
        <v>207598.79</v>
      </c>
      <c r="N158" s="22">
        <v>57.37</v>
      </c>
      <c r="O158" s="23" t="s">
        <v>33</v>
      </c>
      <c r="P158" s="18">
        <v>0.3453</v>
      </c>
      <c r="Q158" s="18">
        <v>1.33</v>
      </c>
    </row>
    <row r="159" spans="1:17" x14ac:dyDescent="0.35">
      <c r="A159" s="12" t="s">
        <v>378</v>
      </c>
      <c r="B159" s="12" t="s">
        <v>379</v>
      </c>
      <c r="C159" s="13" t="s">
        <v>48</v>
      </c>
      <c r="D159" s="12" t="s">
        <v>49</v>
      </c>
      <c r="E159" s="14" t="s">
        <v>50</v>
      </c>
      <c r="F159" s="15" t="s">
        <v>38</v>
      </c>
      <c r="G159" s="12" t="s">
        <v>24</v>
      </c>
      <c r="H159" s="12">
        <v>70.349999999999994</v>
      </c>
      <c r="I159" s="12">
        <v>95.34</v>
      </c>
      <c r="J159" s="12">
        <v>3448</v>
      </c>
      <c r="K159" s="12">
        <v>242566.8</v>
      </c>
      <c r="L159" s="12">
        <v>328732.32</v>
      </c>
      <c r="M159" s="17">
        <v>86165.52</v>
      </c>
      <c r="N159" s="17">
        <v>35.520000000000003</v>
      </c>
      <c r="O159" s="16" t="s">
        <v>33</v>
      </c>
      <c r="P159" s="12">
        <v>0.14249999999999999</v>
      </c>
      <c r="Q159" s="12">
        <v>1.36</v>
      </c>
    </row>
    <row r="160" spans="1:17" x14ac:dyDescent="0.35">
      <c r="A160" s="18" t="s">
        <v>380</v>
      </c>
      <c r="B160" s="18" t="s">
        <v>381</v>
      </c>
      <c r="C160" s="19" t="s">
        <v>215</v>
      </c>
      <c r="D160" s="18" t="s">
        <v>216</v>
      </c>
      <c r="E160" s="20" t="s">
        <v>50</v>
      </c>
      <c r="F160" s="21" t="s">
        <v>31</v>
      </c>
      <c r="G160" s="18" t="s">
        <v>65</v>
      </c>
      <c r="H160" s="18">
        <v>168.56</v>
      </c>
      <c r="I160" s="18">
        <v>181.86</v>
      </c>
      <c r="J160" s="18">
        <v>4670</v>
      </c>
      <c r="K160" s="18">
        <v>787175.2</v>
      </c>
      <c r="L160" s="18">
        <v>849286.2</v>
      </c>
      <c r="M160" s="22">
        <v>62111</v>
      </c>
      <c r="N160" s="22">
        <v>7.89</v>
      </c>
      <c r="O160" s="22" t="s">
        <v>25</v>
      </c>
      <c r="P160" s="18">
        <v>0.43120000000000003</v>
      </c>
      <c r="Q160" s="18">
        <v>1.39</v>
      </c>
    </row>
    <row r="161" spans="1:17" x14ac:dyDescent="0.35">
      <c r="A161" s="12" t="s">
        <v>382</v>
      </c>
      <c r="B161" s="12" t="s">
        <v>383</v>
      </c>
      <c r="C161" s="13" t="s">
        <v>53</v>
      </c>
      <c r="D161" s="12" t="s">
        <v>54</v>
      </c>
      <c r="E161" s="14" t="s">
        <v>55</v>
      </c>
      <c r="F161" s="15" t="s">
        <v>31</v>
      </c>
      <c r="G161" s="12" t="s">
        <v>65</v>
      </c>
      <c r="H161" s="12">
        <v>94.42</v>
      </c>
      <c r="I161" s="12">
        <v>143.68</v>
      </c>
      <c r="J161" s="12">
        <v>4873</v>
      </c>
      <c r="K161" s="12">
        <v>460108.66</v>
      </c>
      <c r="L161" s="12">
        <v>700152.64</v>
      </c>
      <c r="M161" s="17">
        <v>240043.98</v>
      </c>
      <c r="N161" s="17">
        <v>52.17</v>
      </c>
      <c r="O161" s="16" t="s">
        <v>33</v>
      </c>
      <c r="P161" s="12">
        <v>0.25340000000000001</v>
      </c>
      <c r="Q161" s="12">
        <v>1.39</v>
      </c>
    </row>
    <row r="162" spans="1:17" x14ac:dyDescent="0.35">
      <c r="A162" s="18" t="s">
        <v>384</v>
      </c>
      <c r="B162" s="18" t="s">
        <v>385</v>
      </c>
      <c r="C162" s="19" t="s">
        <v>77</v>
      </c>
      <c r="D162" s="18" t="s">
        <v>78</v>
      </c>
      <c r="E162" s="20" t="s">
        <v>44</v>
      </c>
      <c r="F162" s="21" t="s">
        <v>98</v>
      </c>
      <c r="G162" s="18" t="s">
        <v>32</v>
      </c>
      <c r="H162" s="18">
        <v>158.9</v>
      </c>
      <c r="I162" s="18">
        <v>227.89</v>
      </c>
      <c r="J162" s="18">
        <v>4678</v>
      </c>
      <c r="K162" s="18">
        <v>743334.2</v>
      </c>
      <c r="L162" s="18">
        <v>1066069.42</v>
      </c>
      <c r="M162" s="22">
        <v>322735.21999999997</v>
      </c>
      <c r="N162" s="22">
        <v>43.42</v>
      </c>
      <c r="O162" s="23" t="s">
        <v>33</v>
      </c>
      <c r="P162" s="18">
        <v>0.46970000000000001</v>
      </c>
      <c r="Q162" s="18">
        <v>1.4</v>
      </c>
    </row>
    <row r="163" spans="1:17" x14ac:dyDescent="0.35">
      <c r="A163" s="12" t="s">
        <v>386</v>
      </c>
      <c r="B163" s="12" t="s">
        <v>335</v>
      </c>
      <c r="C163" s="13" t="s">
        <v>72</v>
      </c>
      <c r="D163" s="12" t="s">
        <v>73</v>
      </c>
      <c r="E163" s="14" t="s">
        <v>74</v>
      </c>
      <c r="F163" s="15" t="s">
        <v>62</v>
      </c>
      <c r="G163" s="12" t="s">
        <v>32</v>
      </c>
      <c r="H163" s="12">
        <v>384.96</v>
      </c>
      <c r="I163" s="12">
        <v>422</v>
      </c>
      <c r="J163" s="12">
        <v>3064</v>
      </c>
      <c r="K163" s="12">
        <v>1179517.4399999999</v>
      </c>
      <c r="L163" s="12">
        <v>1293008</v>
      </c>
      <c r="M163" s="17">
        <v>113490.56</v>
      </c>
      <c r="N163" s="17">
        <v>9.6199999999999992</v>
      </c>
      <c r="O163" s="25" t="s">
        <v>45</v>
      </c>
      <c r="P163" s="12">
        <v>0.52900000000000003</v>
      </c>
      <c r="Q163" s="12">
        <v>1.01</v>
      </c>
    </row>
    <row r="164" spans="1:17" x14ac:dyDescent="0.35">
      <c r="A164" s="18" t="s">
        <v>387</v>
      </c>
      <c r="B164" s="18" t="s">
        <v>228</v>
      </c>
      <c r="C164" s="19" t="s">
        <v>115</v>
      </c>
      <c r="D164" s="18" t="s">
        <v>116</v>
      </c>
      <c r="E164" s="20" t="s">
        <v>55</v>
      </c>
      <c r="F164" s="21" t="s">
        <v>23</v>
      </c>
      <c r="G164" s="18" t="s">
        <v>39</v>
      </c>
      <c r="H164" s="18">
        <v>681.06</v>
      </c>
      <c r="I164" s="18">
        <v>686.81</v>
      </c>
      <c r="J164" s="18">
        <v>1369</v>
      </c>
      <c r="K164" s="18">
        <v>932371.14</v>
      </c>
      <c r="L164" s="18">
        <v>940242.89</v>
      </c>
      <c r="M164" s="22">
        <v>7871.75</v>
      </c>
      <c r="N164" s="22">
        <v>0.84</v>
      </c>
      <c r="O164" s="22" t="s">
        <v>25</v>
      </c>
      <c r="P164" s="18">
        <v>0.16350000000000001</v>
      </c>
      <c r="Q164" s="18">
        <v>1.53</v>
      </c>
    </row>
    <row r="165" spans="1:17" x14ac:dyDescent="0.35">
      <c r="A165" s="12" t="s">
        <v>388</v>
      </c>
      <c r="B165" s="12" t="s">
        <v>389</v>
      </c>
      <c r="C165" s="13" t="s">
        <v>72</v>
      </c>
      <c r="D165" s="12" t="s">
        <v>73</v>
      </c>
      <c r="E165" s="14" t="s">
        <v>74</v>
      </c>
      <c r="F165" s="15" t="s">
        <v>62</v>
      </c>
      <c r="G165" s="12" t="s">
        <v>65</v>
      </c>
      <c r="H165" s="12">
        <v>463.13</v>
      </c>
      <c r="I165" s="12">
        <v>457.56</v>
      </c>
      <c r="J165" s="12">
        <v>1173</v>
      </c>
      <c r="K165" s="12">
        <v>543251.49</v>
      </c>
      <c r="L165" s="12">
        <v>536717.88</v>
      </c>
      <c r="M165" s="16">
        <v>-6533.61</v>
      </c>
      <c r="N165" s="16">
        <v>-1.2</v>
      </c>
      <c r="O165" s="17" t="s">
        <v>25</v>
      </c>
      <c r="P165" s="12">
        <v>0.1978</v>
      </c>
      <c r="Q165" s="12">
        <v>1.43</v>
      </c>
    </row>
    <row r="166" spans="1:17" x14ac:dyDescent="0.35">
      <c r="A166" s="18" t="s">
        <v>390</v>
      </c>
      <c r="B166" s="18" t="s">
        <v>194</v>
      </c>
      <c r="C166" s="19" t="s">
        <v>53</v>
      </c>
      <c r="D166" s="18" t="s">
        <v>54</v>
      </c>
      <c r="E166" s="20" t="s">
        <v>55</v>
      </c>
      <c r="F166" s="21" t="s">
        <v>31</v>
      </c>
      <c r="G166" s="18" t="s">
        <v>39</v>
      </c>
      <c r="H166" s="18">
        <v>86.34</v>
      </c>
      <c r="I166" s="18">
        <v>82.11</v>
      </c>
      <c r="J166" s="18">
        <v>3465</v>
      </c>
      <c r="K166" s="18">
        <v>299168.09999999998</v>
      </c>
      <c r="L166" s="18">
        <v>284511.15000000002</v>
      </c>
      <c r="M166" s="23">
        <v>-14656.95</v>
      </c>
      <c r="N166" s="23">
        <v>-4.9000000000000004</v>
      </c>
      <c r="O166" s="22" t="s">
        <v>25</v>
      </c>
      <c r="P166" s="18">
        <v>0.53690000000000004</v>
      </c>
      <c r="Q166" s="18">
        <v>1.33</v>
      </c>
    </row>
    <row r="167" spans="1:17" x14ac:dyDescent="0.35">
      <c r="A167" s="12" t="s">
        <v>391</v>
      </c>
      <c r="B167" s="12" t="s">
        <v>392</v>
      </c>
      <c r="C167" s="13" t="s">
        <v>119</v>
      </c>
      <c r="D167" s="12" t="s">
        <v>120</v>
      </c>
      <c r="E167" s="14" t="s">
        <v>44</v>
      </c>
      <c r="F167" s="15" t="s">
        <v>98</v>
      </c>
      <c r="G167" s="12" t="s">
        <v>39</v>
      </c>
      <c r="H167" s="12">
        <v>53.82</v>
      </c>
      <c r="I167" s="12">
        <v>38.17</v>
      </c>
      <c r="J167" s="12">
        <v>3942</v>
      </c>
      <c r="K167" s="12">
        <v>212158.44</v>
      </c>
      <c r="L167" s="12">
        <v>150466.14000000001</v>
      </c>
      <c r="M167" s="16">
        <v>-61692.3</v>
      </c>
      <c r="N167" s="16">
        <v>-29.08</v>
      </c>
      <c r="O167" s="16" t="s">
        <v>33</v>
      </c>
      <c r="P167" s="12">
        <v>0.41170000000000001</v>
      </c>
      <c r="Q167" s="12">
        <v>1.28</v>
      </c>
    </row>
    <row r="168" spans="1:17" x14ac:dyDescent="0.35">
      <c r="A168" s="18" t="s">
        <v>393</v>
      </c>
      <c r="B168" s="18" t="s">
        <v>264</v>
      </c>
      <c r="C168" s="19" t="s">
        <v>119</v>
      </c>
      <c r="D168" s="18" t="s">
        <v>120</v>
      </c>
      <c r="E168" s="20" t="s">
        <v>44</v>
      </c>
      <c r="F168" s="21" t="s">
        <v>38</v>
      </c>
      <c r="G168" s="18" t="s">
        <v>24</v>
      </c>
      <c r="H168" s="18">
        <v>48.4</v>
      </c>
      <c r="I168" s="18">
        <v>75.33</v>
      </c>
      <c r="J168" s="18">
        <v>4219</v>
      </c>
      <c r="K168" s="18">
        <v>204199.6</v>
      </c>
      <c r="L168" s="18">
        <v>317817.27</v>
      </c>
      <c r="M168" s="22">
        <v>113617.67</v>
      </c>
      <c r="N168" s="22">
        <v>55.64</v>
      </c>
      <c r="O168" s="23" t="s">
        <v>33</v>
      </c>
      <c r="P168" s="18">
        <v>0.4713</v>
      </c>
      <c r="Q168" s="18">
        <v>1.56</v>
      </c>
    </row>
    <row r="169" spans="1:17" x14ac:dyDescent="0.35">
      <c r="A169" s="12" t="s">
        <v>394</v>
      </c>
      <c r="B169" s="12" t="s">
        <v>395</v>
      </c>
      <c r="C169" s="13" t="s">
        <v>87</v>
      </c>
      <c r="D169" s="12" t="s">
        <v>88</v>
      </c>
      <c r="E169" s="14" t="s">
        <v>22</v>
      </c>
      <c r="F169" s="15" t="s">
        <v>38</v>
      </c>
      <c r="G169" s="12" t="s">
        <v>32</v>
      </c>
      <c r="H169" s="12">
        <v>355.73</v>
      </c>
      <c r="I169" s="12">
        <v>338.59</v>
      </c>
      <c r="J169" s="12">
        <v>3140</v>
      </c>
      <c r="K169" s="12">
        <v>1116992.2</v>
      </c>
      <c r="L169" s="12">
        <v>1063172.6000000001</v>
      </c>
      <c r="M169" s="16">
        <v>-53819.6</v>
      </c>
      <c r="N169" s="16">
        <v>-4.82</v>
      </c>
      <c r="O169" s="17" t="s">
        <v>25</v>
      </c>
      <c r="P169" s="12">
        <v>0.48370000000000002</v>
      </c>
      <c r="Q169" s="12">
        <v>1.62</v>
      </c>
    </row>
    <row r="170" spans="1:17" x14ac:dyDescent="0.35">
      <c r="A170" s="18" t="s">
        <v>396</v>
      </c>
      <c r="B170" s="18" t="s">
        <v>397</v>
      </c>
      <c r="C170" s="19" t="s">
        <v>137</v>
      </c>
      <c r="D170" s="18" t="s">
        <v>138</v>
      </c>
      <c r="E170" s="20" t="s">
        <v>50</v>
      </c>
      <c r="F170" s="21" t="s">
        <v>98</v>
      </c>
      <c r="G170" s="18" t="s">
        <v>32</v>
      </c>
      <c r="H170" s="18">
        <v>117.77</v>
      </c>
      <c r="I170" s="18">
        <v>115.78</v>
      </c>
      <c r="J170" s="18">
        <v>3780</v>
      </c>
      <c r="K170" s="18">
        <v>445170.6</v>
      </c>
      <c r="L170" s="18">
        <v>437648.4</v>
      </c>
      <c r="M170" s="23">
        <v>-7522.2</v>
      </c>
      <c r="N170" s="23">
        <v>-1.69</v>
      </c>
      <c r="O170" s="22" t="s">
        <v>25</v>
      </c>
      <c r="P170" s="18">
        <v>0.30809999999999998</v>
      </c>
      <c r="Q170" s="18">
        <v>1.74</v>
      </c>
    </row>
    <row r="171" spans="1:17" x14ac:dyDescent="0.35">
      <c r="A171" s="12" t="s">
        <v>398</v>
      </c>
      <c r="B171" s="12" t="s">
        <v>399</v>
      </c>
      <c r="C171" s="13" t="s">
        <v>150</v>
      </c>
      <c r="D171" s="12" t="s">
        <v>151</v>
      </c>
      <c r="E171" s="14" t="s">
        <v>55</v>
      </c>
      <c r="F171" s="15" t="s">
        <v>31</v>
      </c>
      <c r="G171" s="12" t="s">
        <v>65</v>
      </c>
      <c r="H171" s="12">
        <v>134.22999999999999</v>
      </c>
      <c r="I171" s="12">
        <v>165.29</v>
      </c>
      <c r="J171" s="12">
        <v>3498</v>
      </c>
      <c r="K171" s="12">
        <v>469536.54</v>
      </c>
      <c r="L171" s="12">
        <v>578184.42000000004</v>
      </c>
      <c r="M171" s="17">
        <v>108647.88</v>
      </c>
      <c r="N171" s="17">
        <v>23.14</v>
      </c>
      <c r="O171" s="16" t="s">
        <v>33</v>
      </c>
      <c r="P171" s="12">
        <v>0.22140000000000001</v>
      </c>
      <c r="Q171" s="12">
        <v>1.79</v>
      </c>
    </row>
    <row r="172" spans="1:17" x14ac:dyDescent="0.35">
      <c r="A172" s="18" t="s">
        <v>400</v>
      </c>
      <c r="B172" s="18" t="s">
        <v>401</v>
      </c>
      <c r="C172" s="19" t="s">
        <v>48</v>
      </c>
      <c r="D172" s="18" t="s">
        <v>49</v>
      </c>
      <c r="E172" s="20" t="s">
        <v>50</v>
      </c>
      <c r="F172" s="21" t="s">
        <v>98</v>
      </c>
      <c r="G172" s="18" t="s">
        <v>32</v>
      </c>
      <c r="H172" s="18">
        <v>71.61</v>
      </c>
      <c r="I172" s="18">
        <v>95.6</v>
      </c>
      <c r="J172" s="18">
        <v>911</v>
      </c>
      <c r="K172" s="18">
        <v>65236.71</v>
      </c>
      <c r="L172" s="18">
        <v>87091.6</v>
      </c>
      <c r="M172" s="22">
        <v>21854.89</v>
      </c>
      <c r="N172" s="22">
        <v>33.5</v>
      </c>
      <c r="O172" s="23" t="s">
        <v>33</v>
      </c>
      <c r="P172" s="18">
        <v>0.46029999999999999</v>
      </c>
      <c r="Q172" s="18">
        <v>0.77</v>
      </c>
    </row>
    <row r="173" spans="1:17" x14ac:dyDescent="0.35">
      <c r="A173" s="12" t="s">
        <v>402</v>
      </c>
      <c r="B173" s="12" t="s">
        <v>266</v>
      </c>
      <c r="C173" s="13" t="s">
        <v>137</v>
      </c>
      <c r="D173" s="12" t="s">
        <v>138</v>
      </c>
      <c r="E173" s="14" t="s">
        <v>50</v>
      </c>
      <c r="F173" s="15" t="s">
        <v>38</v>
      </c>
      <c r="G173" s="12" t="s">
        <v>32</v>
      </c>
      <c r="H173" s="12">
        <v>108.63</v>
      </c>
      <c r="I173" s="12">
        <v>164.48</v>
      </c>
      <c r="J173" s="12">
        <v>3774</v>
      </c>
      <c r="K173" s="12">
        <v>409969.62</v>
      </c>
      <c r="L173" s="12">
        <v>620747.52000000002</v>
      </c>
      <c r="M173" s="17">
        <v>210777.9</v>
      </c>
      <c r="N173" s="17">
        <v>51.41</v>
      </c>
      <c r="O173" s="16" t="s">
        <v>33</v>
      </c>
      <c r="P173" s="12">
        <v>0.12820000000000001</v>
      </c>
      <c r="Q173" s="12">
        <v>0.86</v>
      </c>
    </row>
    <row r="174" spans="1:17" x14ac:dyDescent="0.35">
      <c r="A174" s="18" t="s">
        <v>403</v>
      </c>
      <c r="B174" s="18" t="s">
        <v>329</v>
      </c>
      <c r="C174" s="19" t="s">
        <v>87</v>
      </c>
      <c r="D174" s="18" t="s">
        <v>88</v>
      </c>
      <c r="E174" s="20" t="s">
        <v>22</v>
      </c>
      <c r="F174" s="21" t="s">
        <v>31</v>
      </c>
      <c r="G174" s="18" t="s">
        <v>32</v>
      </c>
      <c r="H174" s="18">
        <v>322.45</v>
      </c>
      <c r="I174" s="18">
        <v>311.26</v>
      </c>
      <c r="J174" s="18">
        <v>2460</v>
      </c>
      <c r="K174" s="18">
        <v>793227</v>
      </c>
      <c r="L174" s="18">
        <v>765699.6</v>
      </c>
      <c r="M174" s="23">
        <v>-27527.4</v>
      </c>
      <c r="N174" s="23">
        <v>-3.47</v>
      </c>
      <c r="O174" s="22" t="s">
        <v>25</v>
      </c>
      <c r="P174" s="18">
        <v>0.2225</v>
      </c>
      <c r="Q174" s="18">
        <v>1.37</v>
      </c>
    </row>
    <row r="175" spans="1:17" x14ac:dyDescent="0.35">
      <c r="A175" s="12" t="s">
        <v>404</v>
      </c>
      <c r="B175" s="12" t="s">
        <v>405</v>
      </c>
      <c r="C175" s="13" t="s">
        <v>53</v>
      </c>
      <c r="D175" s="12" t="s">
        <v>54</v>
      </c>
      <c r="E175" s="14" t="s">
        <v>55</v>
      </c>
      <c r="F175" s="15" t="s">
        <v>31</v>
      </c>
      <c r="G175" s="12" t="s">
        <v>32</v>
      </c>
      <c r="H175" s="12">
        <v>92.61</v>
      </c>
      <c r="I175" s="12">
        <v>82.56</v>
      </c>
      <c r="J175" s="12">
        <v>4194</v>
      </c>
      <c r="K175" s="12">
        <v>388406.34</v>
      </c>
      <c r="L175" s="12">
        <v>346256.64000000001</v>
      </c>
      <c r="M175" s="16">
        <v>-42149.7</v>
      </c>
      <c r="N175" s="16">
        <v>-10.85</v>
      </c>
      <c r="O175" s="25" t="s">
        <v>45</v>
      </c>
      <c r="P175" s="12">
        <v>0.34160000000000001</v>
      </c>
      <c r="Q175" s="12">
        <v>0.89</v>
      </c>
    </row>
    <row r="176" spans="1:17" x14ac:dyDescent="0.35">
      <c r="A176" s="18" t="s">
        <v>406</v>
      </c>
      <c r="B176" s="18" t="s">
        <v>407</v>
      </c>
      <c r="C176" s="19" t="s">
        <v>87</v>
      </c>
      <c r="D176" s="18" t="s">
        <v>88</v>
      </c>
      <c r="E176" s="20" t="s">
        <v>22</v>
      </c>
      <c r="F176" s="21" t="s">
        <v>31</v>
      </c>
      <c r="G176" s="18" t="s">
        <v>32</v>
      </c>
      <c r="H176" s="18">
        <v>322.76</v>
      </c>
      <c r="I176" s="18">
        <v>378.14</v>
      </c>
      <c r="J176" s="18">
        <v>2990</v>
      </c>
      <c r="K176" s="18">
        <v>965052.4</v>
      </c>
      <c r="L176" s="18">
        <v>1130638.6000000001</v>
      </c>
      <c r="M176" s="22">
        <v>165586.20000000001</v>
      </c>
      <c r="N176" s="22">
        <v>17.16</v>
      </c>
      <c r="O176" s="24" t="s">
        <v>45</v>
      </c>
      <c r="P176" s="18">
        <v>0.40570000000000001</v>
      </c>
      <c r="Q176" s="18">
        <v>0.7</v>
      </c>
    </row>
    <row r="177" spans="1:17" x14ac:dyDescent="0.35">
      <c r="A177" s="12" t="s">
        <v>408</v>
      </c>
      <c r="B177" s="12" t="s">
        <v>409</v>
      </c>
      <c r="C177" s="13" t="s">
        <v>48</v>
      </c>
      <c r="D177" s="12" t="s">
        <v>49</v>
      </c>
      <c r="E177" s="14" t="s">
        <v>50</v>
      </c>
      <c r="F177" s="15" t="s">
        <v>38</v>
      </c>
      <c r="G177" s="12" t="s">
        <v>32</v>
      </c>
      <c r="H177" s="12">
        <v>56.1</v>
      </c>
      <c r="I177" s="12">
        <v>64.56</v>
      </c>
      <c r="J177" s="12">
        <v>3951</v>
      </c>
      <c r="K177" s="12">
        <v>221651.1</v>
      </c>
      <c r="L177" s="12">
        <v>255076.56</v>
      </c>
      <c r="M177" s="17">
        <v>33425.46</v>
      </c>
      <c r="N177" s="17">
        <v>15.08</v>
      </c>
      <c r="O177" s="25" t="s">
        <v>45</v>
      </c>
      <c r="P177" s="12">
        <v>0.28050000000000003</v>
      </c>
      <c r="Q177" s="12">
        <v>1.5</v>
      </c>
    </row>
    <row r="178" spans="1:17" x14ac:dyDescent="0.35">
      <c r="A178" s="18" t="s">
        <v>410</v>
      </c>
      <c r="B178" s="18" t="s">
        <v>409</v>
      </c>
      <c r="C178" s="19" t="s">
        <v>48</v>
      </c>
      <c r="D178" s="18" t="s">
        <v>49</v>
      </c>
      <c r="E178" s="20" t="s">
        <v>50</v>
      </c>
      <c r="F178" s="21" t="s">
        <v>23</v>
      </c>
      <c r="G178" s="18" t="s">
        <v>65</v>
      </c>
      <c r="H178" s="18">
        <v>70.290000000000006</v>
      </c>
      <c r="I178" s="18">
        <v>98.03</v>
      </c>
      <c r="J178" s="18">
        <v>949</v>
      </c>
      <c r="K178" s="18">
        <v>66705.210000000006</v>
      </c>
      <c r="L178" s="18">
        <v>93030.47</v>
      </c>
      <c r="M178" s="22">
        <v>26325.26</v>
      </c>
      <c r="N178" s="22">
        <v>39.47</v>
      </c>
      <c r="O178" s="23" t="s">
        <v>33</v>
      </c>
      <c r="P178" s="18">
        <v>0.26300000000000001</v>
      </c>
      <c r="Q178" s="18">
        <v>0.65</v>
      </c>
    </row>
    <row r="179" spans="1:17" x14ac:dyDescent="0.35">
      <c r="A179" s="12" t="s">
        <v>411</v>
      </c>
      <c r="B179" s="12" t="s">
        <v>412</v>
      </c>
      <c r="C179" s="13" t="s">
        <v>36</v>
      </c>
      <c r="D179" s="12" t="s">
        <v>37</v>
      </c>
      <c r="E179" s="14" t="s">
        <v>30</v>
      </c>
      <c r="F179" s="15" t="s">
        <v>38</v>
      </c>
      <c r="G179" s="12" t="s">
        <v>32</v>
      </c>
      <c r="H179" s="12">
        <v>218.3</v>
      </c>
      <c r="I179" s="12">
        <v>316.11</v>
      </c>
      <c r="J179" s="12">
        <v>4020</v>
      </c>
      <c r="K179" s="12">
        <v>877566</v>
      </c>
      <c r="L179" s="12">
        <v>1270762.2</v>
      </c>
      <c r="M179" s="17">
        <v>393196.2</v>
      </c>
      <c r="N179" s="17">
        <v>44.81</v>
      </c>
      <c r="O179" s="16" t="s">
        <v>33</v>
      </c>
      <c r="P179" s="12">
        <v>0.14710000000000001</v>
      </c>
      <c r="Q179" s="12">
        <v>1.53</v>
      </c>
    </row>
    <row r="180" spans="1:17" x14ac:dyDescent="0.35">
      <c r="A180" s="18" t="s">
        <v>413</v>
      </c>
      <c r="B180" s="18" t="s">
        <v>414</v>
      </c>
      <c r="C180" s="19" t="s">
        <v>119</v>
      </c>
      <c r="D180" s="18" t="s">
        <v>120</v>
      </c>
      <c r="E180" s="20" t="s">
        <v>44</v>
      </c>
      <c r="F180" s="21" t="s">
        <v>23</v>
      </c>
      <c r="G180" s="18" t="s">
        <v>24</v>
      </c>
      <c r="H180" s="18">
        <v>52.19</v>
      </c>
      <c r="I180" s="18">
        <v>78.290000000000006</v>
      </c>
      <c r="J180" s="18">
        <v>458</v>
      </c>
      <c r="K180" s="18">
        <v>23903.02</v>
      </c>
      <c r="L180" s="18">
        <v>35856.82</v>
      </c>
      <c r="M180" s="22">
        <v>11953.8</v>
      </c>
      <c r="N180" s="22">
        <v>50.01</v>
      </c>
      <c r="O180" s="23" t="s">
        <v>33</v>
      </c>
      <c r="P180" s="18">
        <v>0.25569999999999998</v>
      </c>
      <c r="Q180" s="18">
        <v>0.97</v>
      </c>
    </row>
    <row r="181" spans="1:17" x14ac:dyDescent="0.35">
      <c r="A181" s="12" t="s">
        <v>415</v>
      </c>
      <c r="B181" s="12" t="s">
        <v>416</v>
      </c>
      <c r="C181" s="13" t="s">
        <v>77</v>
      </c>
      <c r="D181" s="12" t="s">
        <v>78</v>
      </c>
      <c r="E181" s="14" t="s">
        <v>44</v>
      </c>
      <c r="F181" s="15" t="s">
        <v>98</v>
      </c>
      <c r="G181" s="12" t="s">
        <v>39</v>
      </c>
      <c r="H181" s="12">
        <v>177.54</v>
      </c>
      <c r="I181" s="12">
        <v>125.68</v>
      </c>
      <c r="J181" s="12">
        <v>399</v>
      </c>
      <c r="K181" s="12">
        <v>70838.460000000006</v>
      </c>
      <c r="L181" s="12">
        <v>50146.32</v>
      </c>
      <c r="M181" s="16">
        <v>-20692.14</v>
      </c>
      <c r="N181" s="16">
        <v>-29.21</v>
      </c>
      <c r="O181" s="16" t="s">
        <v>33</v>
      </c>
      <c r="P181" s="12">
        <v>0.27350000000000002</v>
      </c>
      <c r="Q181" s="12">
        <v>1.54</v>
      </c>
    </row>
    <row r="182" spans="1:17" x14ac:dyDescent="0.35">
      <c r="A182" s="18" t="s">
        <v>417</v>
      </c>
      <c r="B182" s="18" t="s">
        <v>418</v>
      </c>
      <c r="C182" s="19" t="s">
        <v>215</v>
      </c>
      <c r="D182" s="18" t="s">
        <v>216</v>
      </c>
      <c r="E182" s="20" t="s">
        <v>50</v>
      </c>
      <c r="F182" s="21" t="s">
        <v>98</v>
      </c>
      <c r="G182" s="18" t="s">
        <v>32</v>
      </c>
      <c r="H182" s="18">
        <v>178.7</v>
      </c>
      <c r="I182" s="18">
        <v>250.24</v>
      </c>
      <c r="J182" s="18">
        <v>3679</v>
      </c>
      <c r="K182" s="18">
        <v>657437.30000000005</v>
      </c>
      <c r="L182" s="18">
        <v>920632.96</v>
      </c>
      <c r="M182" s="22">
        <v>263195.65999999997</v>
      </c>
      <c r="N182" s="22">
        <v>40.03</v>
      </c>
      <c r="O182" s="23" t="s">
        <v>33</v>
      </c>
      <c r="P182" s="18">
        <v>0.50470000000000004</v>
      </c>
      <c r="Q182" s="18">
        <v>1.06</v>
      </c>
    </row>
    <row r="183" spans="1:17" x14ac:dyDescent="0.35">
      <c r="A183" s="12" t="s">
        <v>419</v>
      </c>
      <c r="B183" s="12" t="s">
        <v>296</v>
      </c>
      <c r="C183" s="13" t="s">
        <v>170</v>
      </c>
      <c r="D183" s="12" t="s">
        <v>171</v>
      </c>
      <c r="E183" s="14" t="s">
        <v>97</v>
      </c>
      <c r="F183" s="15" t="s">
        <v>98</v>
      </c>
      <c r="G183" s="12" t="s">
        <v>39</v>
      </c>
      <c r="H183" s="12">
        <v>134.85</v>
      </c>
      <c r="I183" s="12">
        <v>88.73</v>
      </c>
      <c r="J183" s="12">
        <v>4353</v>
      </c>
      <c r="K183" s="12">
        <v>587002.05000000005</v>
      </c>
      <c r="L183" s="12">
        <v>386241.69</v>
      </c>
      <c r="M183" s="16">
        <v>-200760.36</v>
      </c>
      <c r="N183" s="16">
        <v>-34.200000000000003</v>
      </c>
      <c r="O183" s="16" t="s">
        <v>33</v>
      </c>
      <c r="P183" s="12">
        <v>0.30249999999999999</v>
      </c>
      <c r="Q183" s="12">
        <v>1.1200000000000001</v>
      </c>
    </row>
    <row r="184" spans="1:17" x14ac:dyDescent="0.35">
      <c r="A184" s="18" t="s">
        <v>420</v>
      </c>
      <c r="B184" s="18" t="s">
        <v>421</v>
      </c>
      <c r="C184" s="19" t="s">
        <v>170</v>
      </c>
      <c r="D184" s="18" t="s">
        <v>171</v>
      </c>
      <c r="E184" s="20" t="s">
        <v>97</v>
      </c>
      <c r="F184" s="21" t="s">
        <v>98</v>
      </c>
      <c r="G184" s="18" t="s">
        <v>24</v>
      </c>
      <c r="H184" s="18">
        <v>126.73</v>
      </c>
      <c r="I184" s="18">
        <v>170.15</v>
      </c>
      <c r="J184" s="18">
        <v>940</v>
      </c>
      <c r="K184" s="18">
        <v>119126.2</v>
      </c>
      <c r="L184" s="18">
        <v>159941</v>
      </c>
      <c r="M184" s="22">
        <v>40814.800000000003</v>
      </c>
      <c r="N184" s="22">
        <v>34.26</v>
      </c>
      <c r="O184" s="23" t="s">
        <v>33</v>
      </c>
      <c r="P184" s="18">
        <v>0.25180000000000002</v>
      </c>
      <c r="Q184" s="18">
        <v>1.32</v>
      </c>
    </row>
    <row r="185" spans="1:17" x14ac:dyDescent="0.35">
      <c r="A185" s="12" t="s">
        <v>422</v>
      </c>
      <c r="B185" s="12" t="s">
        <v>423</v>
      </c>
      <c r="C185" s="13" t="s">
        <v>42</v>
      </c>
      <c r="D185" s="12" t="s">
        <v>43</v>
      </c>
      <c r="E185" s="14" t="s">
        <v>44</v>
      </c>
      <c r="F185" s="15" t="s">
        <v>98</v>
      </c>
      <c r="G185" s="12" t="s">
        <v>39</v>
      </c>
      <c r="H185" s="12">
        <v>474.49</v>
      </c>
      <c r="I185" s="12">
        <v>484.08</v>
      </c>
      <c r="J185" s="12">
        <v>3762</v>
      </c>
      <c r="K185" s="12">
        <v>1785031.38</v>
      </c>
      <c r="L185" s="12">
        <v>1821108.96</v>
      </c>
      <c r="M185" s="17">
        <v>36077.58</v>
      </c>
      <c r="N185" s="17">
        <v>2.02</v>
      </c>
      <c r="O185" s="17" t="s">
        <v>25</v>
      </c>
      <c r="P185" s="12">
        <v>0.27160000000000001</v>
      </c>
      <c r="Q185" s="12">
        <v>1.8</v>
      </c>
    </row>
    <row r="186" spans="1:17" x14ac:dyDescent="0.35">
      <c r="A186" s="18" t="s">
        <v>424</v>
      </c>
      <c r="B186" s="18" t="s">
        <v>425</v>
      </c>
      <c r="C186" s="19" t="s">
        <v>83</v>
      </c>
      <c r="D186" s="18" t="s">
        <v>84</v>
      </c>
      <c r="E186" s="20" t="s">
        <v>55</v>
      </c>
      <c r="F186" s="21" t="s">
        <v>31</v>
      </c>
      <c r="G186" s="18" t="s">
        <v>32</v>
      </c>
      <c r="H186" s="18">
        <v>364.42</v>
      </c>
      <c r="I186" s="18">
        <v>525.04</v>
      </c>
      <c r="J186" s="18">
        <v>3427</v>
      </c>
      <c r="K186" s="18">
        <v>1248867.3400000001</v>
      </c>
      <c r="L186" s="18">
        <v>1799312.08</v>
      </c>
      <c r="M186" s="22">
        <v>550444.74</v>
      </c>
      <c r="N186" s="22">
        <v>44.08</v>
      </c>
      <c r="O186" s="23" t="s">
        <v>33</v>
      </c>
      <c r="P186" s="18">
        <v>0.41210000000000002</v>
      </c>
      <c r="Q186" s="18">
        <v>1.74</v>
      </c>
    </row>
    <row r="187" spans="1:17" x14ac:dyDescent="0.35">
      <c r="A187" s="12" t="s">
        <v>426</v>
      </c>
      <c r="B187" s="12" t="s">
        <v>427</v>
      </c>
      <c r="C187" s="13" t="s">
        <v>87</v>
      </c>
      <c r="D187" s="12" t="s">
        <v>88</v>
      </c>
      <c r="E187" s="14" t="s">
        <v>22</v>
      </c>
      <c r="F187" s="15" t="s">
        <v>31</v>
      </c>
      <c r="G187" s="12" t="s">
        <v>39</v>
      </c>
      <c r="H187" s="12">
        <v>304.56</v>
      </c>
      <c r="I187" s="12">
        <v>297.89999999999998</v>
      </c>
      <c r="J187" s="12">
        <v>1134</v>
      </c>
      <c r="K187" s="12">
        <v>345371.04</v>
      </c>
      <c r="L187" s="12">
        <v>337818.6</v>
      </c>
      <c r="M187" s="16">
        <v>-7552.44</v>
      </c>
      <c r="N187" s="16">
        <v>-2.19</v>
      </c>
      <c r="O187" s="17" t="s">
        <v>25</v>
      </c>
      <c r="P187" s="12">
        <v>0.27750000000000002</v>
      </c>
      <c r="Q187" s="12">
        <v>1.06</v>
      </c>
    </row>
    <row r="188" spans="1:17" x14ac:dyDescent="0.35">
      <c r="A188" s="18" t="s">
        <v>428</v>
      </c>
      <c r="B188" s="18" t="s">
        <v>429</v>
      </c>
      <c r="C188" s="19" t="s">
        <v>28</v>
      </c>
      <c r="D188" s="18" t="s">
        <v>29</v>
      </c>
      <c r="E188" s="20" t="s">
        <v>30</v>
      </c>
      <c r="F188" s="21" t="s">
        <v>38</v>
      </c>
      <c r="G188" s="18" t="s">
        <v>32</v>
      </c>
      <c r="H188" s="18">
        <v>230.78</v>
      </c>
      <c r="I188" s="18">
        <v>326.36</v>
      </c>
      <c r="J188" s="18">
        <v>3138</v>
      </c>
      <c r="K188" s="18">
        <v>724187.64</v>
      </c>
      <c r="L188" s="18">
        <v>1024117.68</v>
      </c>
      <c r="M188" s="22">
        <v>299930.03999999998</v>
      </c>
      <c r="N188" s="22">
        <v>41.42</v>
      </c>
      <c r="O188" s="23" t="s">
        <v>33</v>
      </c>
      <c r="P188" s="18">
        <v>0.36680000000000001</v>
      </c>
      <c r="Q188" s="18">
        <v>1.24</v>
      </c>
    </row>
    <row r="189" spans="1:17" x14ac:dyDescent="0.35">
      <c r="A189" s="12" t="s">
        <v>430</v>
      </c>
      <c r="B189" s="12" t="s">
        <v>431</v>
      </c>
      <c r="C189" s="13" t="s">
        <v>77</v>
      </c>
      <c r="D189" s="12" t="s">
        <v>78</v>
      </c>
      <c r="E189" s="14" t="s">
        <v>44</v>
      </c>
      <c r="F189" s="15" t="s">
        <v>23</v>
      </c>
      <c r="G189" s="12" t="s">
        <v>24</v>
      </c>
      <c r="H189" s="12">
        <v>141.53</v>
      </c>
      <c r="I189" s="12">
        <v>142.97999999999999</v>
      </c>
      <c r="J189" s="12">
        <v>1029</v>
      </c>
      <c r="K189" s="12">
        <v>145634.37</v>
      </c>
      <c r="L189" s="12">
        <v>147126.42000000001</v>
      </c>
      <c r="M189" s="17">
        <v>1492.05</v>
      </c>
      <c r="N189" s="17">
        <v>1.02</v>
      </c>
      <c r="O189" s="17" t="s">
        <v>25</v>
      </c>
      <c r="P189" s="12">
        <v>0.34260000000000002</v>
      </c>
      <c r="Q189" s="12">
        <v>1.7</v>
      </c>
    </row>
    <row r="190" spans="1:17" x14ac:dyDescent="0.35">
      <c r="A190" s="18" t="s">
        <v>432</v>
      </c>
      <c r="B190" s="18" t="s">
        <v>433</v>
      </c>
      <c r="C190" s="19" t="s">
        <v>20</v>
      </c>
      <c r="D190" s="18" t="s">
        <v>21</v>
      </c>
      <c r="E190" s="20" t="s">
        <v>22</v>
      </c>
      <c r="F190" s="21" t="s">
        <v>38</v>
      </c>
      <c r="G190" s="18" t="s">
        <v>24</v>
      </c>
      <c r="H190" s="18">
        <v>689.35</v>
      </c>
      <c r="I190" s="18">
        <v>744.43</v>
      </c>
      <c r="J190" s="18">
        <v>1857</v>
      </c>
      <c r="K190" s="18">
        <v>1280122.95</v>
      </c>
      <c r="L190" s="18">
        <v>1382406.51</v>
      </c>
      <c r="M190" s="22">
        <v>102283.56</v>
      </c>
      <c r="N190" s="22">
        <v>7.99</v>
      </c>
      <c r="O190" s="22" t="s">
        <v>25</v>
      </c>
      <c r="P190" s="18">
        <v>0.5141</v>
      </c>
      <c r="Q190" s="18">
        <v>1.19</v>
      </c>
    </row>
    <row r="191" spans="1:17" x14ac:dyDescent="0.35">
      <c r="A191" s="12" t="s">
        <v>434</v>
      </c>
      <c r="B191" s="12" t="s">
        <v>196</v>
      </c>
      <c r="C191" s="13" t="s">
        <v>20</v>
      </c>
      <c r="D191" s="12" t="s">
        <v>21</v>
      </c>
      <c r="E191" s="14" t="s">
        <v>22</v>
      </c>
      <c r="F191" s="15" t="s">
        <v>38</v>
      </c>
      <c r="G191" s="12" t="s">
        <v>32</v>
      </c>
      <c r="H191" s="12">
        <v>671.76</v>
      </c>
      <c r="I191" s="12">
        <v>800.45</v>
      </c>
      <c r="J191" s="12">
        <v>1514</v>
      </c>
      <c r="K191" s="12">
        <v>1017044.64</v>
      </c>
      <c r="L191" s="12">
        <v>1211881.3</v>
      </c>
      <c r="M191" s="17">
        <v>194836.66</v>
      </c>
      <c r="N191" s="17">
        <v>19.16</v>
      </c>
      <c r="O191" s="25" t="s">
        <v>45</v>
      </c>
      <c r="P191" s="12">
        <v>0.1578</v>
      </c>
      <c r="Q191" s="12">
        <v>1.42</v>
      </c>
    </row>
    <row r="192" spans="1:17" x14ac:dyDescent="0.35">
      <c r="A192" s="18" t="s">
        <v>435</v>
      </c>
      <c r="B192" s="18" t="s">
        <v>436</v>
      </c>
      <c r="C192" s="19" t="s">
        <v>215</v>
      </c>
      <c r="D192" s="18" t="s">
        <v>216</v>
      </c>
      <c r="E192" s="20" t="s">
        <v>50</v>
      </c>
      <c r="F192" s="21" t="s">
        <v>31</v>
      </c>
      <c r="G192" s="18" t="s">
        <v>65</v>
      </c>
      <c r="H192" s="18">
        <v>162.02000000000001</v>
      </c>
      <c r="I192" s="18">
        <v>243.67</v>
      </c>
      <c r="J192" s="18">
        <v>4605</v>
      </c>
      <c r="K192" s="18">
        <v>746102.1</v>
      </c>
      <c r="L192" s="18">
        <v>1122100.3500000001</v>
      </c>
      <c r="M192" s="22">
        <v>375998.25</v>
      </c>
      <c r="N192" s="22">
        <v>50.4</v>
      </c>
      <c r="O192" s="23" t="s">
        <v>33</v>
      </c>
      <c r="P192" s="18">
        <v>0.48609999999999998</v>
      </c>
      <c r="Q192" s="18">
        <v>1.45</v>
      </c>
    </row>
    <row r="193" spans="1:17" x14ac:dyDescent="0.35">
      <c r="A193" s="12" t="s">
        <v>437</v>
      </c>
      <c r="B193" s="12" t="s">
        <v>52</v>
      </c>
      <c r="C193" s="13" t="s">
        <v>170</v>
      </c>
      <c r="D193" s="12" t="s">
        <v>171</v>
      </c>
      <c r="E193" s="14" t="s">
        <v>97</v>
      </c>
      <c r="F193" s="15" t="s">
        <v>31</v>
      </c>
      <c r="G193" s="12" t="s">
        <v>39</v>
      </c>
      <c r="H193" s="12">
        <v>157.69999999999999</v>
      </c>
      <c r="I193" s="12">
        <v>114.95</v>
      </c>
      <c r="J193" s="12">
        <v>1746</v>
      </c>
      <c r="K193" s="12">
        <v>275344.2</v>
      </c>
      <c r="L193" s="12">
        <v>200702.7</v>
      </c>
      <c r="M193" s="16">
        <v>-74641.5</v>
      </c>
      <c r="N193" s="16">
        <v>-27.11</v>
      </c>
      <c r="O193" s="16" t="s">
        <v>33</v>
      </c>
      <c r="P193" s="12">
        <v>0.33239999999999997</v>
      </c>
      <c r="Q193" s="12">
        <v>1.03</v>
      </c>
    </row>
    <row r="194" spans="1:17" x14ac:dyDescent="0.35">
      <c r="A194" s="18" t="s">
        <v>438</v>
      </c>
      <c r="B194" s="18" t="s">
        <v>224</v>
      </c>
      <c r="C194" s="19" t="s">
        <v>28</v>
      </c>
      <c r="D194" s="18" t="s">
        <v>29</v>
      </c>
      <c r="E194" s="20" t="s">
        <v>30</v>
      </c>
      <c r="F194" s="21" t="s">
        <v>62</v>
      </c>
      <c r="G194" s="18" t="s">
        <v>39</v>
      </c>
      <c r="H194" s="18">
        <v>248.06</v>
      </c>
      <c r="I194" s="18">
        <v>163.63999999999999</v>
      </c>
      <c r="J194" s="18">
        <v>1163</v>
      </c>
      <c r="K194" s="18">
        <v>288493.78000000003</v>
      </c>
      <c r="L194" s="18">
        <v>190313.32</v>
      </c>
      <c r="M194" s="23">
        <v>-98180.46</v>
      </c>
      <c r="N194" s="23">
        <v>-34.03</v>
      </c>
      <c r="O194" s="23" t="s">
        <v>33</v>
      </c>
      <c r="P194" s="18">
        <v>0.253</v>
      </c>
      <c r="Q194" s="18">
        <v>1.8</v>
      </c>
    </row>
    <row r="195" spans="1:17" x14ac:dyDescent="0.35">
      <c r="A195" s="12" t="s">
        <v>439</v>
      </c>
      <c r="B195" s="12" t="s">
        <v>440</v>
      </c>
      <c r="C195" s="13" t="s">
        <v>115</v>
      </c>
      <c r="D195" s="12" t="s">
        <v>116</v>
      </c>
      <c r="E195" s="14" t="s">
        <v>55</v>
      </c>
      <c r="F195" s="15" t="s">
        <v>38</v>
      </c>
      <c r="G195" s="12" t="s">
        <v>32</v>
      </c>
      <c r="H195" s="12">
        <v>680.26</v>
      </c>
      <c r="I195" s="12">
        <v>1061.6600000000001</v>
      </c>
      <c r="J195" s="12">
        <v>4809</v>
      </c>
      <c r="K195" s="12">
        <v>3271370.34</v>
      </c>
      <c r="L195" s="12">
        <v>5105522.9400000004</v>
      </c>
      <c r="M195" s="17">
        <v>1834152.6</v>
      </c>
      <c r="N195" s="17">
        <v>56.07</v>
      </c>
      <c r="O195" s="16" t="s">
        <v>33</v>
      </c>
      <c r="P195" s="12">
        <v>0.3962</v>
      </c>
      <c r="Q195" s="12">
        <v>1.1399999999999999</v>
      </c>
    </row>
    <row r="196" spans="1:17" x14ac:dyDescent="0.35">
      <c r="A196" s="18" t="s">
        <v>441</v>
      </c>
      <c r="B196" s="18" t="s">
        <v>442</v>
      </c>
      <c r="C196" s="19" t="s">
        <v>72</v>
      </c>
      <c r="D196" s="18" t="s">
        <v>73</v>
      </c>
      <c r="E196" s="20" t="s">
        <v>74</v>
      </c>
      <c r="F196" s="21" t="s">
        <v>62</v>
      </c>
      <c r="G196" s="18" t="s">
        <v>32</v>
      </c>
      <c r="H196" s="18">
        <v>407.07</v>
      </c>
      <c r="I196" s="18">
        <v>633.55999999999995</v>
      </c>
      <c r="J196" s="18">
        <v>4915</v>
      </c>
      <c r="K196" s="18">
        <v>2000749.05</v>
      </c>
      <c r="L196" s="18">
        <v>3113947.4</v>
      </c>
      <c r="M196" s="22">
        <v>1113198.3500000001</v>
      </c>
      <c r="N196" s="22">
        <v>55.64</v>
      </c>
      <c r="O196" s="23" t="s">
        <v>33</v>
      </c>
      <c r="P196" s="18">
        <v>0.30599999999999999</v>
      </c>
      <c r="Q196" s="18">
        <v>1.69</v>
      </c>
    </row>
    <row r="197" spans="1:17" x14ac:dyDescent="0.35">
      <c r="A197" s="12" t="s">
        <v>443</v>
      </c>
      <c r="B197" s="12" t="s">
        <v>444</v>
      </c>
      <c r="C197" s="13" t="s">
        <v>103</v>
      </c>
      <c r="D197" s="12" t="s">
        <v>104</v>
      </c>
      <c r="E197" s="14" t="s">
        <v>22</v>
      </c>
      <c r="F197" s="15" t="s">
        <v>98</v>
      </c>
      <c r="G197" s="12" t="s">
        <v>32</v>
      </c>
      <c r="H197" s="12">
        <v>287.55</v>
      </c>
      <c r="I197" s="12">
        <v>441.19</v>
      </c>
      <c r="J197" s="12">
        <v>1448</v>
      </c>
      <c r="K197" s="12">
        <v>416372.4</v>
      </c>
      <c r="L197" s="12">
        <v>638843.12</v>
      </c>
      <c r="M197" s="17">
        <v>222470.72</v>
      </c>
      <c r="N197" s="17">
        <v>53.43</v>
      </c>
      <c r="O197" s="16" t="s">
        <v>33</v>
      </c>
      <c r="P197" s="12">
        <v>0.217</v>
      </c>
      <c r="Q197" s="12">
        <v>1.74</v>
      </c>
    </row>
    <row r="198" spans="1:17" x14ac:dyDescent="0.35">
      <c r="A198" s="18" t="s">
        <v>445</v>
      </c>
      <c r="B198" s="18" t="s">
        <v>446</v>
      </c>
      <c r="C198" s="19" t="s">
        <v>72</v>
      </c>
      <c r="D198" s="18" t="s">
        <v>73</v>
      </c>
      <c r="E198" s="20" t="s">
        <v>74</v>
      </c>
      <c r="F198" s="21" t="s">
        <v>98</v>
      </c>
      <c r="G198" s="18" t="s">
        <v>32</v>
      </c>
      <c r="H198" s="18">
        <v>468.23</v>
      </c>
      <c r="I198" s="18">
        <v>592.59</v>
      </c>
      <c r="J198" s="18">
        <v>1708</v>
      </c>
      <c r="K198" s="18">
        <v>799736.84</v>
      </c>
      <c r="L198" s="18">
        <v>1012143.72</v>
      </c>
      <c r="M198" s="22">
        <v>212406.88</v>
      </c>
      <c r="N198" s="22">
        <v>26.56</v>
      </c>
      <c r="O198" s="23" t="s">
        <v>33</v>
      </c>
      <c r="P198" s="18">
        <v>0.17380000000000001</v>
      </c>
      <c r="Q198" s="18">
        <v>0.96</v>
      </c>
    </row>
    <row r="199" spans="1:17" x14ac:dyDescent="0.35">
      <c r="A199" s="12" t="s">
        <v>447</v>
      </c>
      <c r="B199" s="12" t="s">
        <v>335</v>
      </c>
      <c r="C199" s="13" t="s">
        <v>36</v>
      </c>
      <c r="D199" s="12" t="s">
        <v>37</v>
      </c>
      <c r="E199" s="14" t="s">
        <v>30</v>
      </c>
      <c r="F199" s="15" t="s">
        <v>62</v>
      </c>
      <c r="G199" s="12" t="s">
        <v>32</v>
      </c>
      <c r="H199" s="12">
        <v>188.21</v>
      </c>
      <c r="I199" s="12">
        <v>252.41</v>
      </c>
      <c r="J199" s="12">
        <v>4856</v>
      </c>
      <c r="K199" s="12">
        <v>913947.76</v>
      </c>
      <c r="L199" s="12">
        <v>1225702.96</v>
      </c>
      <c r="M199" s="17">
        <v>311755.2</v>
      </c>
      <c r="N199" s="17">
        <v>34.11</v>
      </c>
      <c r="O199" s="16" t="s">
        <v>33</v>
      </c>
      <c r="P199" s="12">
        <v>0.4299</v>
      </c>
      <c r="Q199" s="12">
        <v>1.33</v>
      </c>
    </row>
    <row r="200" spans="1:17" x14ac:dyDescent="0.35">
      <c r="A200" s="18" t="s">
        <v>448</v>
      </c>
      <c r="B200" s="18" t="s">
        <v>449</v>
      </c>
      <c r="C200" s="19" t="s">
        <v>28</v>
      </c>
      <c r="D200" s="18" t="s">
        <v>29</v>
      </c>
      <c r="E200" s="20" t="s">
        <v>30</v>
      </c>
      <c r="F200" s="21" t="s">
        <v>31</v>
      </c>
      <c r="G200" s="18" t="s">
        <v>32</v>
      </c>
      <c r="H200" s="18">
        <v>272.3</v>
      </c>
      <c r="I200" s="18">
        <v>386.59</v>
      </c>
      <c r="J200" s="18">
        <v>472</v>
      </c>
      <c r="K200" s="18">
        <v>128525.6</v>
      </c>
      <c r="L200" s="18">
        <v>182470.48</v>
      </c>
      <c r="M200" s="22">
        <v>53944.88</v>
      </c>
      <c r="N200" s="22">
        <v>41.97</v>
      </c>
      <c r="O200" s="23" t="s">
        <v>33</v>
      </c>
      <c r="P200" s="18">
        <v>0.23380000000000001</v>
      </c>
      <c r="Q200" s="18">
        <v>0.85</v>
      </c>
    </row>
    <row r="201" spans="1:17" x14ac:dyDescent="0.35">
      <c r="A201" s="12" t="s">
        <v>450</v>
      </c>
      <c r="B201" s="12" t="s">
        <v>451</v>
      </c>
      <c r="C201" s="13" t="s">
        <v>28</v>
      </c>
      <c r="D201" s="12" t="s">
        <v>29</v>
      </c>
      <c r="E201" s="14" t="s">
        <v>30</v>
      </c>
      <c r="F201" s="15" t="s">
        <v>38</v>
      </c>
      <c r="G201" s="12" t="s">
        <v>32</v>
      </c>
      <c r="H201" s="12">
        <v>224.86</v>
      </c>
      <c r="I201" s="12">
        <v>348.46</v>
      </c>
      <c r="J201" s="12">
        <v>4569</v>
      </c>
      <c r="K201" s="12">
        <v>1027385.34</v>
      </c>
      <c r="L201" s="12">
        <v>1592113.74</v>
      </c>
      <c r="M201" s="17">
        <v>564728.4</v>
      </c>
      <c r="N201" s="17">
        <v>54.97</v>
      </c>
      <c r="O201" s="16" t="s">
        <v>33</v>
      </c>
      <c r="P201" s="12">
        <v>0.32769999999999999</v>
      </c>
      <c r="Q201" s="12">
        <v>1.57</v>
      </c>
    </row>
    <row r="202" spans="1:17" x14ac:dyDescent="0.35">
      <c r="A202" s="18" t="s">
        <v>452</v>
      </c>
      <c r="B202" s="18" t="s">
        <v>453</v>
      </c>
      <c r="C202" s="19" t="s">
        <v>77</v>
      </c>
      <c r="D202" s="18" t="s">
        <v>78</v>
      </c>
      <c r="E202" s="20" t="s">
        <v>44</v>
      </c>
      <c r="F202" s="21" t="s">
        <v>31</v>
      </c>
      <c r="G202" s="18" t="s">
        <v>39</v>
      </c>
      <c r="H202" s="18">
        <v>148.07</v>
      </c>
      <c r="I202" s="18">
        <v>120.11</v>
      </c>
      <c r="J202" s="18">
        <v>590</v>
      </c>
      <c r="K202" s="18">
        <v>87361.3</v>
      </c>
      <c r="L202" s="18">
        <v>70864.899999999994</v>
      </c>
      <c r="M202" s="23">
        <v>-16496.400000000001</v>
      </c>
      <c r="N202" s="23">
        <v>-18.88</v>
      </c>
      <c r="O202" s="24" t="s">
        <v>45</v>
      </c>
      <c r="P202" s="18">
        <v>0.31969999999999998</v>
      </c>
      <c r="Q202" s="18">
        <v>1.01</v>
      </c>
    </row>
    <row r="203" spans="1:17" x14ac:dyDescent="0.35">
      <c r="A203" s="12" t="s">
        <v>454</v>
      </c>
      <c r="B203" s="12" t="s">
        <v>333</v>
      </c>
      <c r="C203" s="13" t="s">
        <v>87</v>
      </c>
      <c r="D203" s="12" t="s">
        <v>88</v>
      </c>
      <c r="E203" s="14" t="s">
        <v>22</v>
      </c>
      <c r="F203" s="15" t="s">
        <v>98</v>
      </c>
      <c r="G203" s="12" t="s">
        <v>65</v>
      </c>
      <c r="H203" s="12">
        <v>311.23</v>
      </c>
      <c r="I203" s="12">
        <v>354.61</v>
      </c>
      <c r="J203" s="12">
        <v>3366</v>
      </c>
      <c r="K203" s="12">
        <v>1047600.18</v>
      </c>
      <c r="L203" s="12">
        <v>1193617.26</v>
      </c>
      <c r="M203" s="17">
        <v>146017.07999999999</v>
      </c>
      <c r="N203" s="17">
        <v>13.94</v>
      </c>
      <c r="O203" s="25" t="s">
        <v>45</v>
      </c>
      <c r="P203" s="12">
        <v>0.36149999999999999</v>
      </c>
      <c r="Q203" s="12">
        <v>0.98</v>
      </c>
    </row>
    <row r="204" spans="1:17" x14ac:dyDescent="0.35">
      <c r="A204" s="18" t="s">
        <v>455</v>
      </c>
      <c r="B204" s="18" t="s">
        <v>456</v>
      </c>
      <c r="C204" s="19" t="s">
        <v>119</v>
      </c>
      <c r="D204" s="18" t="s">
        <v>120</v>
      </c>
      <c r="E204" s="20" t="s">
        <v>44</v>
      </c>
      <c r="F204" s="21" t="s">
        <v>38</v>
      </c>
      <c r="G204" s="18" t="s">
        <v>24</v>
      </c>
      <c r="H204" s="18">
        <v>42.83</v>
      </c>
      <c r="I204" s="18">
        <v>39.21</v>
      </c>
      <c r="J204" s="18">
        <v>2130</v>
      </c>
      <c r="K204" s="18">
        <v>91227.9</v>
      </c>
      <c r="L204" s="18">
        <v>83517.3</v>
      </c>
      <c r="M204" s="23">
        <v>-7710.6</v>
      </c>
      <c r="N204" s="23">
        <v>-8.4499999999999993</v>
      </c>
      <c r="O204" s="24" t="s">
        <v>45</v>
      </c>
      <c r="P204" s="18">
        <v>0.52649999999999997</v>
      </c>
      <c r="Q204" s="18">
        <v>1.64</v>
      </c>
    </row>
    <row r="205" spans="1:17" x14ac:dyDescent="0.35">
      <c r="A205" s="12" t="s">
        <v>457</v>
      </c>
      <c r="B205" s="12" t="s">
        <v>458</v>
      </c>
      <c r="C205" s="13" t="s">
        <v>42</v>
      </c>
      <c r="D205" s="12" t="s">
        <v>43</v>
      </c>
      <c r="E205" s="14" t="s">
        <v>44</v>
      </c>
      <c r="F205" s="15" t="s">
        <v>98</v>
      </c>
      <c r="G205" s="12" t="s">
        <v>32</v>
      </c>
      <c r="H205" s="12">
        <v>586.49</v>
      </c>
      <c r="I205" s="12">
        <v>594.04999999999995</v>
      </c>
      <c r="J205" s="12">
        <v>4832</v>
      </c>
      <c r="K205" s="12">
        <v>2833919.68</v>
      </c>
      <c r="L205" s="12">
        <v>2870449.6</v>
      </c>
      <c r="M205" s="17">
        <v>36529.919999999998</v>
      </c>
      <c r="N205" s="17">
        <v>1.29</v>
      </c>
      <c r="O205" s="17" t="s">
        <v>25</v>
      </c>
      <c r="P205" s="12">
        <v>0.1885</v>
      </c>
      <c r="Q205" s="12">
        <v>1.8</v>
      </c>
    </row>
    <row r="206" spans="1:17" x14ac:dyDescent="0.35">
      <c r="A206" s="18" t="s">
        <v>459</v>
      </c>
      <c r="B206" s="18" t="s">
        <v>460</v>
      </c>
      <c r="C206" s="19" t="s">
        <v>119</v>
      </c>
      <c r="D206" s="18" t="s">
        <v>120</v>
      </c>
      <c r="E206" s="20" t="s">
        <v>44</v>
      </c>
      <c r="F206" s="21" t="s">
        <v>38</v>
      </c>
      <c r="G206" s="18" t="s">
        <v>24</v>
      </c>
      <c r="H206" s="18">
        <v>42.1</v>
      </c>
      <c r="I206" s="18">
        <v>48.64</v>
      </c>
      <c r="J206" s="18">
        <v>289</v>
      </c>
      <c r="K206" s="18">
        <v>12166.9</v>
      </c>
      <c r="L206" s="18">
        <v>14056.96</v>
      </c>
      <c r="M206" s="22">
        <v>1890.06</v>
      </c>
      <c r="N206" s="22">
        <v>15.53</v>
      </c>
      <c r="O206" s="24" t="s">
        <v>45</v>
      </c>
      <c r="P206" s="18">
        <v>0.31659999999999999</v>
      </c>
      <c r="Q206" s="18">
        <v>0.89</v>
      </c>
    </row>
    <row r="207" spans="1:17" x14ac:dyDescent="0.35">
      <c r="A207" s="12" t="s">
        <v>461</v>
      </c>
      <c r="B207" s="12" t="s">
        <v>462</v>
      </c>
      <c r="C207" s="13" t="s">
        <v>28</v>
      </c>
      <c r="D207" s="12" t="s">
        <v>29</v>
      </c>
      <c r="E207" s="14" t="s">
        <v>30</v>
      </c>
      <c r="F207" s="15" t="s">
        <v>31</v>
      </c>
      <c r="G207" s="12" t="s">
        <v>32</v>
      </c>
      <c r="H207" s="12">
        <v>239.63</v>
      </c>
      <c r="I207" s="12">
        <v>358.88</v>
      </c>
      <c r="J207" s="12">
        <v>2404</v>
      </c>
      <c r="K207" s="12">
        <v>576070.52</v>
      </c>
      <c r="L207" s="12">
        <v>862747.52</v>
      </c>
      <c r="M207" s="17">
        <v>286677</v>
      </c>
      <c r="N207" s="17">
        <v>49.76</v>
      </c>
      <c r="O207" s="16" t="s">
        <v>33</v>
      </c>
      <c r="P207" s="12">
        <v>0.40129999999999999</v>
      </c>
      <c r="Q207" s="12">
        <v>1.1599999999999999</v>
      </c>
    </row>
    <row r="208" spans="1:17" x14ac:dyDescent="0.35">
      <c r="A208" s="18" t="s">
        <v>463</v>
      </c>
      <c r="B208" s="18" t="s">
        <v>134</v>
      </c>
      <c r="C208" s="19" t="s">
        <v>36</v>
      </c>
      <c r="D208" s="18" t="s">
        <v>37</v>
      </c>
      <c r="E208" s="20" t="s">
        <v>30</v>
      </c>
      <c r="F208" s="21" t="s">
        <v>38</v>
      </c>
      <c r="G208" s="18" t="s">
        <v>32</v>
      </c>
      <c r="H208" s="18">
        <v>234.09</v>
      </c>
      <c r="I208" s="18">
        <v>325.20999999999998</v>
      </c>
      <c r="J208" s="18">
        <v>1197</v>
      </c>
      <c r="K208" s="18">
        <v>280205.73</v>
      </c>
      <c r="L208" s="18">
        <v>389276.37</v>
      </c>
      <c r="M208" s="22">
        <v>109070.64</v>
      </c>
      <c r="N208" s="22">
        <v>38.93</v>
      </c>
      <c r="O208" s="23" t="s">
        <v>33</v>
      </c>
      <c r="P208" s="18">
        <v>0.44850000000000001</v>
      </c>
      <c r="Q208" s="18">
        <v>1.04</v>
      </c>
    </row>
    <row r="209" spans="1:17" x14ac:dyDescent="0.35">
      <c r="A209" s="12" t="s">
        <v>464</v>
      </c>
      <c r="B209" s="12" t="s">
        <v>465</v>
      </c>
      <c r="C209" s="13" t="s">
        <v>77</v>
      </c>
      <c r="D209" s="12" t="s">
        <v>78</v>
      </c>
      <c r="E209" s="14" t="s">
        <v>44</v>
      </c>
      <c r="F209" s="15" t="s">
        <v>98</v>
      </c>
      <c r="G209" s="12" t="s">
        <v>39</v>
      </c>
      <c r="H209" s="12">
        <v>154.54</v>
      </c>
      <c r="I209" s="12">
        <v>123.28</v>
      </c>
      <c r="J209" s="12">
        <v>4632</v>
      </c>
      <c r="K209" s="12">
        <v>715829.28</v>
      </c>
      <c r="L209" s="12">
        <v>571032.96</v>
      </c>
      <c r="M209" s="16">
        <v>-144796.32</v>
      </c>
      <c r="N209" s="16">
        <v>-20.23</v>
      </c>
      <c r="O209" s="25" t="s">
        <v>45</v>
      </c>
      <c r="P209" s="12">
        <v>0.31369999999999998</v>
      </c>
      <c r="Q209" s="12">
        <v>1.26</v>
      </c>
    </row>
    <row r="210" spans="1:17" x14ac:dyDescent="0.35">
      <c r="A210" s="18" t="s">
        <v>466</v>
      </c>
      <c r="B210" s="18" t="s">
        <v>467</v>
      </c>
      <c r="C210" s="19" t="s">
        <v>53</v>
      </c>
      <c r="D210" s="18" t="s">
        <v>54</v>
      </c>
      <c r="E210" s="20" t="s">
        <v>55</v>
      </c>
      <c r="F210" s="21" t="s">
        <v>23</v>
      </c>
      <c r="G210" s="18" t="s">
        <v>32</v>
      </c>
      <c r="H210" s="18">
        <v>87.14</v>
      </c>
      <c r="I210" s="18">
        <v>125.17</v>
      </c>
      <c r="J210" s="18">
        <v>892</v>
      </c>
      <c r="K210" s="18">
        <v>77728.88</v>
      </c>
      <c r="L210" s="18">
        <v>111651.64</v>
      </c>
      <c r="M210" s="22">
        <v>33922.76</v>
      </c>
      <c r="N210" s="22">
        <v>43.64</v>
      </c>
      <c r="O210" s="23" t="s">
        <v>33</v>
      </c>
      <c r="P210" s="18">
        <v>0.26579999999999998</v>
      </c>
      <c r="Q210" s="18">
        <v>1.73</v>
      </c>
    </row>
    <row r="211" spans="1:17" x14ac:dyDescent="0.35">
      <c r="A211" s="12" t="s">
        <v>468</v>
      </c>
      <c r="B211" s="12" t="s">
        <v>206</v>
      </c>
      <c r="C211" s="13" t="s">
        <v>87</v>
      </c>
      <c r="D211" s="12" t="s">
        <v>88</v>
      </c>
      <c r="E211" s="14" t="s">
        <v>22</v>
      </c>
      <c r="F211" s="15" t="s">
        <v>62</v>
      </c>
      <c r="G211" s="12" t="s">
        <v>32</v>
      </c>
      <c r="H211" s="12">
        <v>302.26</v>
      </c>
      <c r="I211" s="12">
        <v>294.98</v>
      </c>
      <c r="J211" s="12">
        <v>429</v>
      </c>
      <c r="K211" s="12">
        <v>129669.54</v>
      </c>
      <c r="L211" s="12">
        <v>126546.42</v>
      </c>
      <c r="M211" s="16">
        <v>-3123.12</v>
      </c>
      <c r="N211" s="16">
        <v>-2.41</v>
      </c>
      <c r="O211" s="17" t="s">
        <v>25</v>
      </c>
      <c r="P211" s="12">
        <v>0.26319999999999999</v>
      </c>
      <c r="Q211" s="12">
        <v>1.17</v>
      </c>
    </row>
    <row r="212" spans="1:17" x14ac:dyDescent="0.35">
      <c r="A212" s="18" t="s">
        <v>469</v>
      </c>
      <c r="B212" s="18" t="s">
        <v>470</v>
      </c>
      <c r="C212" s="19" t="s">
        <v>119</v>
      </c>
      <c r="D212" s="18" t="s">
        <v>120</v>
      </c>
      <c r="E212" s="20" t="s">
        <v>44</v>
      </c>
      <c r="F212" s="21" t="s">
        <v>98</v>
      </c>
      <c r="G212" s="18" t="s">
        <v>32</v>
      </c>
      <c r="H212" s="18">
        <v>43.14</v>
      </c>
      <c r="I212" s="18">
        <v>67.88</v>
      </c>
      <c r="J212" s="18">
        <v>2709</v>
      </c>
      <c r="K212" s="18">
        <v>116866.26</v>
      </c>
      <c r="L212" s="18">
        <v>183886.92</v>
      </c>
      <c r="M212" s="22">
        <v>67020.66</v>
      </c>
      <c r="N212" s="22">
        <v>57.35</v>
      </c>
      <c r="O212" s="23" t="s">
        <v>33</v>
      </c>
      <c r="P212" s="18">
        <v>0.43790000000000001</v>
      </c>
      <c r="Q212" s="18">
        <v>0.96</v>
      </c>
    </row>
    <row r="213" spans="1:17" x14ac:dyDescent="0.35">
      <c r="A213" s="12" t="s">
        <v>471</v>
      </c>
      <c r="B213" s="12" t="s">
        <v>472</v>
      </c>
      <c r="C213" s="13" t="s">
        <v>215</v>
      </c>
      <c r="D213" s="12" t="s">
        <v>216</v>
      </c>
      <c r="E213" s="14" t="s">
        <v>50</v>
      </c>
      <c r="F213" s="15" t="s">
        <v>62</v>
      </c>
      <c r="G213" s="12" t="s">
        <v>39</v>
      </c>
      <c r="H213" s="12">
        <v>158.79</v>
      </c>
      <c r="I213" s="12">
        <v>99.67</v>
      </c>
      <c r="J213" s="12">
        <v>2555</v>
      </c>
      <c r="K213" s="12">
        <v>405708.45</v>
      </c>
      <c r="L213" s="12">
        <v>254656.85</v>
      </c>
      <c r="M213" s="16">
        <v>-151051.6</v>
      </c>
      <c r="N213" s="16">
        <v>-37.229999999999997</v>
      </c>
      <c r="O213" s="16" t="s">
        <v>33</v>
      </c>
      <c r="P213" s="12">
        <v>0.26240000000000002</v>
      </c>
      <c r="Q213" s="12">
        <v>0.73</v>
      </c>
    </row>
    <row r="214" spans="1:17" x14ac:dyDescent="0.35">
      <c r="A214" s="18" t="s">
        <v>473</v>
      </c>
      <c r="B214" s="18" t="s">
        <v>474</v>
      </c>
      <c r="C214" s="19" t="s">
        <v>42</v>
      </c>
      <c r="D214" s="18" t="s">
        <v>43</v>
      </c>
      <c r="E214" s="20" t="s">
        <v>44</v>
      </c>
      <c r="F214" s="21" t="s">
        <v>31</v>
      </c>
      <c r="G214" s="18" t="s">
        <v>24</v>
      </c>
      <c r="H214" s="18">
        <v>545.80999999999995</v>
      </c>
      <c r="I214" s="18">
        <v>849.8</v>
      </c>
      <c r="J214" s="18">
        <v>4989</v>
      </c>
      <c r="K214" s="18">
        <v>2723046.09</v>
      </c>
      <c r="L214" s="18">
        <v>4239652.2</v>
      </c>
      <c r="M214" s="22">
        <v>1516606.11</v>
      </c>
      <c r="N214" s="22">
        <v>55.7</v>
      </c>
      <c r="O214" s="23" t="s">
        <v>33</v>
      </c>
      <c r="P214" s="18">
        <v>0.45660000000000001</v>
      </c>
      <c r="Q214" s="18">
        <v>1.53</v>
      </c>
    </row>
    <row r="215" spans="1:17" x14ac:dyDescent="0.35">
      <c r="A215" s="12" t="s">
        <v>475</v>
      </c>
      <c r="B215" s="12" t="s">
        <v>476</v>
      </c>
      <c r="C215" s="13" t="s">
        <v>28</v>
      </c>
      <c r="D215" s="12" t="s">
        <v>29</v>
      </c>
      <c r="E215" s="14" t="s">
        <v>30</v>
      </c>
      <c r="F215" s="15" t="s">
        <v>62</v>
      </c>
      <c r="G215" s="12" t="s">
        <v>32</v>
      </c>
      <c r="H215" s="12">
        <v>216.28</v>
      </c>
      <c r="I215" s="12">
        <v>285.56</v>
      </c>
      <c r="J215" s="12">
        <v>4035</v>
      </c>
      <c r="K215" s="12">
        <v>872689.8</v>
      </c>
      <c r="L215" s="12">
        <v>1152234.6000000001</v>
      </c>
      <c r="M215" s="17">
        <v>279544.8</v>
      </c>
      <c r="N215" s="17">
        <v>32.03</v>
      </c>
      <c r="O215" s="16" t="s">
        <v>33</v>
      </c>
      <c r="P215" s="12">
        <v>0.38650000000000001</v>
      </c>
      <c r="Q215" s="12">
        <v>1.61</v>
      </c>
    </row>
    <row r="216" spans="1:17" x14ac:dyDescent="0.35">
      <c r="A216" s="18" t="s">
        <v>477</v>
      </c>
      <c r="B216" s="18" t="s">
        <v>478</v>
      </c>
      <c r="C216" s="19" t="s">
        <v>87</v>
      </c>
      <c r="D216" s="18" t="s">
        <v>88</v>
      </c>
      <c r="E216" s="20" t="s">
        <v>22</v>
      </c>
      <c r="F216" s="21" t="s">
        <v>31</v>
      </c>
      <c r="G216" s="18" t="s">
        <v>39</v>
      </c>
      <c r="H216" s="18">
        <v>397.06</v>
      </c>
      <c r="I216" s="18">
        <v>266.25</v>
      </c>
      <c r="J216" s="18">
        <v>4790</v>
      </c>
      <c r="K216" s="18">
        <v>1901917.4</v>
      </c>
      <c r="L216" s="18">
        <v>1275337.5</v>
      </c>
      <c r="M216" s="23">
        <v>-626579.9</v>
      </c>
      <c r="N216" s="23">
        <v>-32.94</v>
      </c>
      <c r="O216" s="23" t="s">
        <v>33</v>
      </c>
      <c r="P216" s="18">
        <v>0.12809999999999999</v>
      </c>
      <c r="Q216" s="18">
        <v>0.98</v>
      </c>
    </row>
    <row r="217" spans="1:17" x14ac:dyDescent="0.35">
      <c r="A217" s="12" t="s">
        <v>479</v>
      </c>
      <c r="B217" s="12" t="s">
        <v>480</v>
      </c>
      <c r="C217" s="13" t="s">
        <v>87</v>
      </c>
      <c r="D217" s="12" t="s">
        <v>88</v>
      </c>
      <c r="E217" s="14" t="s">
        <v>22</v>
      </c>
      <c r="F217" s="15" t="s">
        <v>38</v>
      </c>
      <c r="G217" s="12" t="s">
        <v>39</v>
      </c>
      <c r="H217" s="12">
        <v>378.87</v>
      </c>
      <c r="I217" s="12">
        <v>395.33</v>
      </c>
      <c r="J217" s="12">
        <v>4210</v>
      </c>
      <c r="K217" s="12">
        <v>1595042.7</v>
      </c>
      <c r="L217" s="12">
        <v>1664339.3</v>
      </c>
      <c r="M217" s="17">
        <v>69296.600000000006</v>
      </c>
      <c r="N217" s="17">
        <v>4.34</v>
      </c>
      <c r="O217" s="17" t="s">
        <v>25</v>
      </c>
      <c r="P217" s="12">
        <v>0.49530000000000002</v>
      </c>
      <c r="Q217" s="12">
        <v>1.48</v>
      </c>
    </row>
    <row r="218" spans="1:17" x14ac:dyDescent="0.35">
      <c r="A218" s="18" t="s">
        <v>481</v>
      </c>
      <c r="B218" s="18" t="s">
        <v>274</v>
      </c>
      <c r="C218" s="19" t="s">
        <v>103</v>
      </c>
      <c r="D218" s="18" t="s">
        <v>104</v>
      </c>
      <c r="E218" s="20" t="s">
        <v>22</v>
      </c>
      <c r="F218" s="21" t="s">
        <v>62</v>
      </c>
      <c r="G218" s="18" t="s">
        <v>32</v>
      </c>
      <c r="H218" s="18">
        <v>325.85000000000002</v>
      </c>
      <c r="I218" s="18">
        <v>514.41</v>
      </c>
      <c r="J218" s="18">
        <v>1798</v>
      </c>
      <c r="K218" s="18">
        <v>585878.30000000005</v>
      </c>
      <c r="L218" s="18">
        <v>924909.18</v>
      </c>
      <c r="M218" s="22">
        <v>339030.88</v>
      </c>
      <c r="N218" s="22">
        <v>57.87</v>
      </c>
      <c r="O218" s="23" t="s">
        <v>33</v>
      </c>
      <c r="P218" s="18">
        <v>0.32569999999999999</v>
      </c>
      <c r="Q218" s="18">
        <v>1.05</v>
      </c>
    </row>
    <row r="219" spans="1:17" x14ac:dyDescent="0.35">
      <c r="A219" s="12" t="s">
        <v>482</v>
      </c>
      <c r="B219" s="12" t="s">
        <v>483</v>
      </c>
      <c r="C219" s="13" t="s">
        <v>170</v>
      </c>
      <c r="D219" s="12" t="s">
        <v>171</v>
      </c>
      <c r="E219" s="14" t="s">
        <v>97</v>
      </c>
      <c r="F219" s="15" t="s">
        <v>62</v>
      </c>
      <c r="G219" s="12" t="s">
        <v>65</v>
      </c>
      <c r="H219" s="12">
        <v>152.65</v>
      </c>
      <c r="I219" s="12">
        <v>227.05</v>
      </c>
      <c r="J219" s="12">
        <v>3002</v>
      </c>
      <c r="K219" s="12">
        <v>458255.3</v>
      </c>
      <c r="L219" s="12">
        <v>681604.1</v>
      </c>
      <c r="M219" s="17">
        <v>223348.8</v>
      </c>
      <c r="N219" s="17">
        <v>48.74</v>
      </c>
      <c r="O219" s="16" t="s">
        <v>33</v>
      </c>
      <c r="P219" s="12">
        <v>0.41270000000000001</v>
      </c>
      <c r="Q219" s="12">
        <v>1.56</v>
      </c>
    </row>
    <row r="220" spans="1:17" x14ac:dyDescent="0.35">
      <c r="A220" s="18" t="s">
        <v>484</v>
      </c>
      <c r="B220" s="18" t="s">
        <v>485</v>
      </c>
      <c r="C220" s="19" t="s">
        <v>83</v>
      </c>
      <c r="D220" s="18" t="s">
        <v>84</v>
      </c>
      <c r="E220" s="20" t="s">
        <v>55</v>
      </c>
      <c r="F220" s="21" t="s">
        <v>23</v>
      </c>
      <c r="G220" s="18" t="s">
        <v>39</v>
      </c>
      <c r="H220" s="18">
        <v>354.81</v>
      </c>
      <c r="I220" s="18">
        <v>268.7</v>
      </c>
      <c r="J220" s="18">
        <v>2119</v>
      </c>
      <c r="K220" s="18">
        <v>751842.39</v>
      </c>
      <c r="L220" s="18">
        <v>569375.30000000005</v>
      </c>
      <c r="M220" s="23">
        <v>-182467.09</v>
      </c>
      <c r="N220" s="23">
        <v>-24.27</v>
      </c>
      <c r="O220" s="23" t="s">
        <v>33</v>
      </c>
      <c r="P220" s="18">
        <v>0.52480000000000004</v>
      </c>
      <c r="Q220" s="18">
        <v>1.78</v>
      </c>
    </row>
    <row r="221" spans="1:17" x14ac:dyDescent="0.35">
      <c r="A221" s="12" t="s">
        <v>486</v>
      </c>
      <c r="B221" s="12" t="s">
        <v>487</v>
      </c>
      <c r="C221" s="13" t="s">
        <v>137</v>
      </c>
      <c r="D221" s="12" t="s">
        <v>138</v>
      </c>
      <c r="E221" s="14" t="s">
        <v>50</v>
      </c>
      <c r="F221" s="15" t="s">
        <v>38</v>
      </c>
      <c r="G221" s="12" t="s">
        <v>39</v>
      </c>
      <c r="H221" s="12">
        <v>104.36</v>
      </c>
      <c r="I221" s="12">
        <v>91.61</v>
      </c>
      <c r="J221" s="12">
        <v>2697</v>
      </c>
      <c r="K221" s="12">
        <v>281458.92</v>
      </c>
      <c r="L221" s="12">
        <v>247072.17</v>
      </c>
      <c r="M221" s="16">
        <v>-34386.75</v>
      </c>
      <c r="N221" s="16">
        <v>-12.22</v>
      </c>
      <c r="O221" s="25" t="s">
        <v>45</v>
      </c>
      <c r="P221" s="12">
        <v>0.52180000000000004</v>
      </c>
      <c r="Q221" s="12">
        <v>1.47</v>
      </c>
    </row>
    <row r="222" spans="1:17" x14ac:dyDescent="0.35">
      <c r="A222" s="18" t="s">
        <v>488</v>
      </c>
      <c r="B222" s="18" t="s">
        <v>489</v>
      </c>
      <c r="C222" s="19" t="s">
        <v>137</v>
      </c>
      <c r="D222" s="18" t="s">
        <v>138</v>
      </c>
      <c r="E222" s="20" t="s">
        <v>50</v>
      </c>
      <c r="F222" s="21" t="s">
        <v>38</v>
      </c>
      <c r="G222" s="18" t="s">
        <v>32</v>
      </c>
      <c r="H222" s="18">
        <v>119.32</v>
      </c>
      <c r="I222" s="18">
        <v>172.21</v>
      </c>
      <c r="J222" s="18">
        <v>2927</v>
      </c>
      <c r="K222" s="18">
        <v>349249.64</v>
      </c>
      <c r="L222" s="18">
        <v>504058.67</v>
      </c>
      <c r="M222" s="22">
        <v>154809.03</v>
      </c>
      <c r="N222" s="22">
        <v>44.33</v>
      </c>
      <c r="O222" s="23" t="s">
        <v>33</v>
      </c>
      <c r="P222" s="18">
        <v>0.24490000000000001</v>
      </c>
      <c r="Q222" s="18">
        <v>0.95</v>
      </c>
    </row>
    <row r="223" spans="1:17" x14ac:dyDescent="0.35">
      <c r="A223" s="12" t="s">
        <v>490</v>
      </c>
      <c r="B223" s="12" t="s">
        <v>491</v>
      </c>
      <c r="C223" s="13" t="s">
        <v>60</v>
      </c>
      <c r="D223" s="12" t="s">
        <v>61</v>
      </c>
      <c r="E223" s="14" t="s">
        <v>22</v>
      </c>
      <c r="F223" s="15" t="s">
        <v>98</v>
      </c>
      <c r="G223" s="12" t="s">
        <v>39</v>
      </c>
      <c r="H223" s="12">
        <v>127.99</v>
      </c>
      <c r="I223" s="12">
        <v>128.1</v>
      </c>
      <c r="J223" s="12">
        <v>4024</v>
      </c>
      <c r="K223" s="12">
        <v>515031.76</v>
      </c>
      <c r="L223" s="12">
        <v>515474.4</v>
      </c>
      <c r="M223" s="17">
        <v>442.64</v>
      </c>
      <c r="N223" s="17">
        <v>0.09</v>
      </c>
      <c r="O223" s="17" t="s">
        <v>25</v>
      </c>
      <c r="P223" s="12">
        <v>0.2366</v>
      </c>
      <c r="Q223" s="12">
        <v>1.27</v>
      </c>
    </row>
    <row r="224" spans="1:17" x14ac:dyDescent="0.35">
      <c r="A224" s="18" t="s">
        <v>492</v>
      </c>
      <c r="B224" s="18" t="s">
        <v>354</v>
      </c>
      <c r="C224" s="19" t="s">
        <v>83</v>
      </c>
      <c r="D224" s="18" t="s">
        <v>84</v>
      </c>
      <c r="E224" s="20" t="s">
        <v>55</v>
      </c>
      <c r="F224" s="21" t="s">
        <v>62</v>
      </c>
      <c r="G224" s="18" t="s">
        <v>32</v>
      </c>
      <c r="H224" s="18">
        <v>350.28</v>
      </c>
      <c r="I224" s="18">
        <v>320.69</v>
      </c>
      <c r="J224" s="18">
        <v>4907</v>
      </c>
      <c r="K224" s="18">
        <v>1718823.96</v>
      </c>
      <c r="L224" s="18">
        <v>1573625.83</v>
      </c>
      <c r="M224" s="23">
        <v>-145198.13</v>
      </c>
      <c r="N224" s="23">
        <v>-8.4499999999999993</v>
      </c>
      <c r="O224" s="24" t="s">
        <v>45</v>
      </c>
      <c r="P224" s="18">
        <v>0.50919999999999999</v>
      </c>
      <c r="Q224" s="18">
        <v>0.87</v>
      </c>
    </row>
    <row r="225" spans="1:17" x14ac:dyDescent="0.35">
      <c r="A225" s="12" t="s">
        <v>493</v>
      </c>
      <c r="B225" s="12" t="s">
        <v>494</v>
      </c>
      <c r="C225" s="13" t="s">
        <v>150</v>
      </c>
      <c r="D225" s="12" t="s">
        <v>151</v>
      </c>
      <c r="E225" s="14" t="s">
        <v>55</v>
      </c>
      <c r="F225" s="15" t="s">
        <v>38</v>
      </c>
      <c r="G225" s="12" t="s">
        <v>32</v>
      </c>
      <c r="H225" s="12">
        <v>165.11</v>
      </c>
      <c r="I225" s="12">
        <v>156.91999999999999</v>
      </c>
      <c r="J225" s="12">
        <v>2805</v>
      </c>
      <c r="K225" s="12">
        <v>463133.55</v>
      </c>
      <c r="L225" s="12">
        <v>440160.6</v>
      </c>
      <c r="M225" s="16">
        <v>-22972.95</v>
      </c>
      <c r="N225" s="16">
        <v>-4.96</v>
      </c>
      <c r="O225" s="17" t="s">
        <v>25</v>
      </c>
      <c r="P225" s="12">
        <v>0.45140000000000002</v>
      </c>
      <c r="Q225" s="12">
        <v>0.61</v>
      </c>
    </row>
    <row r="226" spans="1:17" x14ac:dyDescent="0.35">
      <c r="A226" s="18" t="s">
        <v>495</v>
      </c>
      <c r="B226" s="18" t="s">
        <v>290</v>
      </c>
      <c r="C226" s="19" t="s">
        <v>36</v>
      </c>
      <c r="D226" s="18" t="s">
        <v>37</v>
      </c>
      <c r="E226" s="20" t="s">
        <v>30</v>
      </c>
      <c r="F226" s="21" t="s">
        <v>38</v>
      </c>
      <c r="G226" s="18" t="s">
        <v>32</v>
      </c>
      <c r="H226" s="18">
        <v>219.48</v>
      </c>
      <c r="I226" s="18">
        <v>309.27999999999997</v>
      </c>
      <c r="J226" s="18">
        <v>4011</v>
      </c>
      <c r="K226" s="18">
        <v>880334.28</v>
      </c>
      <c r="L226" s="18">
        <v>1240522.08</v>
      </c>
      <c r="M226" s="22">
        <v>360187.8</v>
      </c>
      <c r="N226" s="22">
        <v>40.909999999999997</v>
      </c>
      <c r="O226" s="23" t="s">
        <v>33</v>
      </c>
      <c r="P226" s="18">
        <v>0.24349999999999999</v>
      </c>
      <c r="Q226" s="18">
        <v>0.94</v>
      </c>
    </row>
    <row r="227" spans="1:17" x14ac:dyDescent="0.35">
      <c r="A227" s="12" t="s">
        <v>496</v>
      </c>
      <c r="B227" s="12" t="s">
        <v>497</v>
      </c>
      <c r="C227" s="13" t="s">
        <v>103</v>
      </c>
      <c r="D227" s="12" t="s">
        <v>104</v>
      </c>
      <c r="E227" s="14" t="s">
        <v>22</v>
      </c>
      <c r="F227" s="15" t="s">
        <v>62</v>
      </c>
      <c r="G227" s="12" t="s">
        <v>39</v>
      </c>
      <c r="H227" s="12">
        <v>359.67</v>
      </c>
      <c r="I227" s="12">
        <v>251.96</v>
      </c>
      <c r="J227" s="12">
        <v>405</v>
      </c>
      <c r="K227" s="12">
        <v>145666.35</v>
      </c>
      <c r="L227" s="12">
        <v>102043.8</v>
      </c>
      <c r="M227" s="16">
        <v>-43622.55</v>
      </c>
      <c r="N227" s="16">
        <v>-29.95</v>
      </c>
      <c r="O227" s="16" t="s">
        <v>33</v>
      </c>
      <c r="P227" s="12">
        <v>0.49940000000000001</v>
      </c>
      <c r="Q227" s="12">
        <v>0.81</v>
      </c>
    </row>
    <row r="228" spans="1:17" x14ac:dyDescent="0.35">
      <c r="A228" s="18" t="s">
        <v>498</v>
      </c>
      <c r="B228" s="18" t="s">
        <v>499</v>
      </c>
      <c r="C228" s="19" t="s">
        <v>103</v>
      </c>
      <c r="D228" s="18" t="s">
        <v>104</v>
      </c>
      <c r="E228" s="20" t="s">
        <v>22</v>
      </c>
      <c r="F228" s="21" t="s">
        <v>23</v>
      </c>
      <c r="G228" s="18" t="s">
        <v>39</v>
      </c>
      <c r="H228" s="18">
        <v>356.17</v>
      </c>
      <c r="I228" s="18">
        <v>222.34</v>
      </c>
      <c r="J228" s="18">
        <v>2471</v>
      </c>
      <c r="K228" s="18">
        <v>880096.07</v>
      </c>
      <c r="L228" s="18">
        <v>549402.14</v>
      </c>
      <c r="M228" s="23">
        <v>-330693.93</v>
      </c>
      <c r="N228" s="23">
        <v>-37.57</v>
      </c>
      <c r="O228" s="23" t="s">
        <v>33</v>
      </c>
      <c r="P228" s="18">
        <v>0.36420000000000002</v>
      </c>
      <c r="Q228" s="18">
        <v>0.73</v>
      </c>
    </row>
    <row r="229" spans="1:17" x14ac:dyDescent="0.35">
      <c r="A229" s="12" t="s">
        <v>500</v>
      </c>
      <c r="B229" s="12" t="s">
        <v>501</v>
      </c>
      <c r="C229" s="13" t="s">
        <v>215</v>
      </c>
      <c r="D229" s="12" t="s">
        <v>216</v>
      </c>
      <c r="E229" s="14" t="s">
        <v>50</v>
      </c>
      <c r="F229" s="15" t="s">
        <v>62</v>
      </c>
      <c r="G229" s="12" t="s">
        <v>39</v>
      </c>
      <c r="H229" s="12">
        <v>159.71</v>
      </c>
      <c r="I229" s="12">
        <v>167.97</v>
      </c>
      <c r="J229" s="12">
        <v>4395</v>
      </c>
      <c r="K229" s="12">
        <v>701925.45</v>
      </c>
      <c r="L229" s="12">
        <v>738228.15</v>
      </c>
      <c r="M229" s="17">
        <v>36302.699999999997</v>
      </c>
      <c r="N229" s="17">
        <v>5.17</v>
      </c>
      <c r="O229" s="17" t="s">
        <v>25</v>
      </c>
      <c r="P229" s="12">
        <v>0.48599999999999999</v>
      </c>
      <c r="Q229" s="12">
        <v>1.1599999999999999</v>
      </c>
    </row>
    <row r="230" spans="1:17" x14ac:dyDescent="0.35">
      <c r="A230" s="18" t="s">
        <v>502</v>
      </c>
      <c r="B230" s="18" t="s">
        <v>503</v>
      </c>
      <c r="C230" s="19" t="s">
        <v>95</v>
      </c>
      <c r="D230" s="18" t="s">
        <v>96</v>
      </c>
      <c r="E230" s="20" t="s">
        <v>97</v>
      </c>
      <c r="F230" s="21" t="s">
        <v>23</v>
      </c>
      <c r="G230" s="18" t="s">
        <v>65</v>
      </c>
      <c r="H230" s="18">
        <v>229.79</v>
      </c>
      <c r="I230" s="18">
        <v>317.8</v>
      </c>
      <c r="J230" s="18">
        <v>3859</v>
      </c>
      <c r="K230" s="18">
        <v>886759.61</v>
      </c>
      <c r="L230" s="18">
        <v>1226390.2</v>
      </c>
      <c r="M230" s="22">
        <v>339630.59</v>
      </c>
      <c r="N230" s="22">
        <v>38.299999999999997</v>
      </c>
      <c r="O230" s="23" t="s">
        <v>33</v>
      </c>
      <c r="P230" s="18">
        <v>0.12609999999999999</v>
      </c>
      <c r="Q230" s="18">
        <v>1</v>
      </c>
    </row>
    <row r="231" spans="1:17" x14ac:dyDescent="0.35">
      <c r="A231" s="12" t="s">
        <v>504</v>
      </c>
      <c r="B231" s="12" t="s">
        <v>505</v>
      </c>
      <c r="C231" s="13" t="s">
        <v>137</v>
      </c>
      <c r="D231" s="12" t="s">
        <v>138</v>
      </c>
      <c r="E231" s="14" t="s">
        <v>50</v>
      </c>
      <c r="F231" s="15" t="s">
        <v>23</v>
      </c>
      <c r="G231" s="12" t="s">
        <v>39</v>
      </c>
      <c r="H231" s="12">
        <v>115.3</v>
      </c>
      <c r="I231" s="12">
        <v>98.82</v>
      </c>
      <c r="J231" s="12">
        <v>3421</v>
      </c>
      <c r="K231" s="12">
        <v>394441.3</v>
      </c>
      <c r="L231" s="12">
        <v>338063.22</v>
      </c>
      <c r="M231" s="16">
        <v>-56378.080000000002</v>
      </c>
      <c r="N231" s="16">
        <v>-14.29</v>
      </c>
      <c r="O231" s="25" t="s">
        <v>45</v>
      </c>
      <c r="P231" s="12">
        <v>0.1573</v>
      </c>
      <c r="Q231" s="12">
        <v>1.4</v>
      </c>
    </row>
    <row r="232" spans="1:17" x14ac:dyDescent="0.35">
      <c r="A232" s="18" t="s">
        <v>506</v>
      </c>
      <c r="B232" s="18" t="s">
        <v>507</v>
      </c>
      <c r="C232" s="19" t="s">
        <v>170</v>
      </c>
      <c r="D232" s="18" t="s">
        <v>171</v>
      </c>
      <c r="E232" s="20" t="s">
        <v>97</v>
      </c>
      <c r="F232" s="21" t="s">
        <v>98</v>
      </c>
      <c r="G232" s="18" t="s">
        <v>39</v>
      </c>
      <c r="H232" s="18">
        <v>123.55</v>
      </c>
      <c r="I232" s="18">
        <v>98.4</v>
      </c>
      <c r="J232" s="18">
        <v>2132</v>
      </c>
      <c r="K232" s="18">
        <v>263408.59999999998</v>
      </c>
      <c r="L232" s="18">
        <v>209788.79999999999</v>
      </c>
      <c r="M232" s="23">
        <v>-53619.8</v>
      </c>
      <c r="N232" s="23">
        <v>-20.36</v>
      </c>
      <c r="O232" s="24" t="s">
        <v>45</v>
      </c>
      <c r="P232" s="18">
        <v>0.31209999999999999</v>
      </c>
      <c r="Q232" s="18">
        <v>0.92</v>
      </c>
    </row>
    <row r="233" spans="1:17" x14ac:dyDescent="0.35">
      <c r="A233" s="12" t="s">
        <v>508</v>
      </c>
      <c r="B233" s="12" t="s">
        <v>292</v>
      </c>
      <c r="C233" s="13" t="s">
        <v>215</v>
      </c>
      <c r="D233" s="12" t="s">
        <v>216</v>
      </c>
      <c r="E233" s="14" t="s">
        <v>50</v>
      </c>
      <c r="F233" s="15" t="s">
        <v>98</v>
      </c>
      <c r="G233" s="12" t="s">
        <v>32</v>
      </c>
      <c r="H233" s="12">
        <v>169.25</v>
      </c>
      <c r="I233" s="12">
        <v>156.30000000000001</v>
      </c>
      <c r="J233" s="12">
        <v>3045</v>
      </c>
      <c r="K233" s="12">
        <v>515366.25</v>
      </c>
      <c r="L233" s="12">
        <v>475933.5</v>
      </c>
      <c r="M233" s="16">
        <v>-39432.75</v>
      </c>
      <c r="N233" s="16">
        <v>-7.65</v>
      </c>
      <c r="O233" s="17" t="s">
        <v>25</v>
      </c>
      <c r="P233" s="12">
        <v>0.17080000000000001</v>
      </c>
      <c r="Q233" s="12">
        <v>0.97</v>
      </c>
    </row>
    <row r="234" spans="1:17" x14ac:dyDescent="0.35">
      <c r="A234" s="18" t="s">
        <v>509</v>
      </c>
      <c r="B234" s="18" t="s">
        <v>510</v>
      </c>
      <c r="C234" s="19" t="s">
        <v>77</v>
      </c>
      <c r="D234" s="18" t="s">
        <v>78</v>
      </c>
      <c r="E234" s="20" t="s">
        <v>44</v>
      </c>
      <c r="F234" s="21" t="s">
        <v>31</v>
      </c>
      <c r="G234" s="18" t="s">
        <v>24</v>
      </c>
      <c r="H234" s="18">
        <v>158.44</v>
      </c>
      <c r="I234" s="18">
        <v>163.92</v>
      </c>
      <c r="J234" s="18">
        <v>2516</v>
      </c>
      <c r="K234" s="18">
        <v>398635.04</v>
      </c>
      <c r="L234" s="18">
        <v>412422.72</v>
      </c>
      <c r="M234" s="22">
        <v>13787.68</v>
      </c>
      <c r="N234" s="22">
        <v>3.46</v>
      </c>
      <c r="O234" s="22" t="s">
        <v>25</v>
      </c>
      <c r="P234" s="18">
        <v>0.53169999999999995</v>
      </c>
      <c r="Q234" s="18">
        <v>1.17</v>
      </c>
    </row>
    <row r="235" spans="1:17" x14ac:dyDescent="0.35">
      <c r="A235" s="12" t="s">
        <v>511</v>
      </c>
      <c r="B235" s="12" t="s">
        <v>512</v>
      </c>
      <c r="C235" s="13" t="s">
        <v>119</v>
      </c>
      <c r="D235" s="12" t="s">
        <v>120</v>
      </c>
      <c r="E235" s="14" t="s">
        <v>44</v>
      </c>
      <c r="F235" s="15" t="s">
        <v>38</v>
      </c>
      <c r="G235" s="12" t="s">
        <v>65</v>
      </c>
      <c r="H235" s="12">
        <v>53.94</v>
      </c>
      <c r="I235" s="12">
        <v>76.06</v>
      </c>
      <c r="J235" s="12">
        <v>4599</v>
      </c>
      <c r="K235" s="12">
        <v>248070.06</v>
      </c>
      <c r="L235" s="12">
        <v>349799.94</v>
      </c>
      <c r="M235" s="17">
        <v>101729.88</v>
      </c>
      <c r="N235" s="17">
        <v>41.01</v>
      </c>
      <c r="O235" s="16" t="s">
        <v>33</v>
      </c>
      <c r="P235" s="12">
        <v>0.46489999999999998</v>
      </c>
      <c r="Q235" s="12">
        <v>1.59</v>
      </c>
    </row>
    <row r="236" spans="1:17" x14ac:dyDescent="0.35">
      <c r="A236" s="18" t="s">
        <v>513</v>
      </c>
      <c r="B236" s="18" t="s">
        <v>467</v>
      </c>
      <c r="C236" s="19" t="s">
        <v>150</v>
      </c>
      <c r="D236" s="18" t="s">
        <v>151</v>
      </c>
      <c r="E236" s="20" t="s">
        <v>55</v>
      </c>
      <c r="F236" s="21" t="s">
        <v>62</v>
      </c>
      <c r="G236" s="18" t="s">
        <v>32</v>
      </c>
      <c r="H236" s="18">
        <v>156.31</v>
      </c>
      <c r="I236" s="18">
        <v>177.14</v>
      </c>
      <c r="J236" s="18">
        <v>3759</v>
      </c>
      <c r="K236" s="18">
        <v>587569.29</v>
      </c>
      <c r="L236" s="18">
        <v>665869.26</v>
      </c>
      <c r="M236" s="22">
        <v>78299.97</v>
      </c>
      <c r="N236" s="22">
        <v>13.33</v>
      </c>
      <c r="O236" s="24" t="s">
        <v>45</v>
      </c>
      <c r="P236" s="18">
        <v>0.51439999999999997</v>
      </c>
      <c r="Q236" s="18">
        <v>0.73</v>
      </c>
    </row>
    <row r="237" spans="1:17" x14ac:dyDescent="0.35">
      <c r="A237" s="12" t="s">
        <v>514</v>
      </c>
      <c r="B237" s="12" t="s">
        <v>515</v>
      </c>
      <c r="C237" s="13" t="s">
        <v>36</v>
      </c>
      <c r="D237" s="12" t="s">
        <v>37</v>
      </c>
      <c r="E237" s="14" t="s">
        <v>30</v>
      </c>
      <c r="F237" s="15" t="s">
        <v>62</v>
      </c>
      <c r="G237" s="12" t="s">
        <v>39</v>
      </c>
      <c r="H237" s="12">
        <v>187.94</v>
      </c>
      <c r="I237" s="12">
        <v>144.88999999999999</v>
      </c>
      <c r="J237" s="12">
        <v>4496</v>
      </c>
      <c r="K237" s="12">
        <v>844978.24</v>
      </c>
      <c r="L237" s="12">
        <v>651425.43999999994</v>
      </c>
      <c r="M237" s="16">
        <v>-193552.8</v>
      </c>
      <c r="N237" s="16">
        <v>-22.91</v>
      </c>
      <c r="O237" s="16" t="s">
        <v>33</v>
      </c>
      <c r="P237" s="12">
        <v>0.34370000000000001</v>
      </c>
      <c r="Q237" s="12">
        <v>0.74</v>
      </c>
    </row>
    <row r="238" spans="1:17" x14ac:dyDescent="0.35">
      <c r="A238" s="18" t="s">
        <v>516</v>
      </c>
      <c r="B238" s="18" t="s">
        <v>474</v>
      </c>
      <c r="C238" s="19" t="s">
        <v>95</v>
      </c>
      <c r="D238" s="18" t="s">
        <v>96</v>
      </c>
      <c r="E238" s="20" t="s">
        <v>97</v>
      </c>
      <c r="F238" s="21" t="s">
        <v>31</v>
      </c>
      <c r="G238" s="18" t="s">
        <v>39</v>
      </c>
      <c r="H238" s="18">
        <v>216.4</v>
      </c>
      <c r="I238" s="18">
        <v>139.71</v>
      </c>
      <c r="J238" s="18">
        <v>4280</v>
      </c>
      <c r="K238" s="18">
        <v>926192</v>
      </c>
      <c r="L238" s="18">
        <v>597958.80000000005</v>
      </c>
      <c r="M238" s="23">
        <v>-328233.2</v>
      </c>
      <c r="N238" s="23">
        <v>-35.44</v>
      </c>
      <c r="O238" s="23" t="s">
        <v>33</v>
      </c>
      <c r="P238" s="18">
        <v>0.1767</v>
      </c>
      <c r="Q238" s="18">
        <v>1.1000000000000001</v>
      </c>
    </row>
    <row r="239" spans="1:17" x14ac:dyDescent="0.35">
      <c r="A239" s="12" t="s">
        <v>517</v>
      </c>
      <c r="B239" s="12" t="s">
        <v>518</v>
      </c>
      <c r="C239" s="13" t="s">
        <v>28</v>
      </c>
      <c r="D239" s="12" t="s">
        <v>29</v>
      </c>
      <c r="E239" s="14" t="s">
        <v>30</v>
      </c>
      <c r="F239" s="15" t="s">
        <v>98</v>
      </c>
      <c r="G239" s="12" t="s">
        <v>39</v>
      </c>
      <c r="H239" s="12">
        <v>232.51</v>
      </c>
      <c r="I239" s="12">
        <v>231.48</v>
      </c>
      <c r="J239" s="12">
        <v>278</v>
      </c>
      <c r="K239" s="12">
        <v>64637.78</v>
      </c>
      <c r="L239" s="12">
        <v>64351.44</v>
      </c>
      <c r="M239" s="16">
        <v>-286.33999999999997</v>
      </c>
      <c r="N239" s="16">
        <v>-0.44</v>
      </c>
      <c r="O239" s="17" t="s">
        <v>25</v>
      </c>
      <c r="P239" s="12">
        <v>0.44069999999999998</v>
      </c>
      <c r="Q239" s="12">
        <v>1.29</v>
      </c>
    </row>
    <row r="240" spans="1:17" x14ac:dyDescent="0.35">
      <c r="A240" s="18" t="s">
        <v>519</v>
      </c>
      <c r="B240" s="18" t="s">
        <v>520</v>
      </c>
      <c r="C240" s="19" t="s">
        <v>103</v>
      </c>
      <c r="D240" s="18" t="s">
        <v>104</v>
      </c>
      <c r="E240" s="20" t="s">
        <v>22</v>
      </c>
      <c r="F240" s="21" t="s">
        <v>31</v>
      </c>
      <c r="G240" s="18" t="s">
        <v>65</v>
      </c>
      <c r="H240" s="18">
        <v>367.44</v>
      </c>
      <c r="I240" s="18">
        <v>563.73</v>
      </c>
      <c r="J240" s="18">
        <v>4533</v>
      </c>
      <c r="K240" s="18">
        <v>1665605.52</v>
      </c>
      <c r="L240" s="18">
        <v>2555388.09</v>
      </c>
      <c r="M240" s="22">
        <v>889782.57</v>
      </c>
      <c r="N240" s="22">
        <v>53.42</v>
      </c>
      <c r="O240" s="23" t="s">
        <v>33</v>
      </c>
      <c r="P240" s="18">
        <v>0.1497</v>
      </c>
      <c r="Q240" s="18">
        <v>1.72</v>
      </c>
    </row>
    <row r="241" spans="1:17" x14ac:dyDescent="0.35">
      <c r="A241" s="12" t="s">
        <v>521</v>
      </c>
      <c r="B241" s="12" t="s">
        <v>522</v>
      </c>
      <c r="C241" s="13" t="s">
        <v>103</v>
      </c>
      <c r="D241" s="12" t="s">
        <v>104</v>
      </c>
      <c r="E241" s="14" t="s">
        <v>22</v>
      </c>
      <c r="F241" s="15" t="s">
        <v>23</v>
      </c>
      <c r="G241" s="12" t="s">
        <v>32</v>
      </c>
      <c r="H241" s="12">
        <v>345.52</v>
      </c>
      <c r="I241" s="12">
        <v>540.67999999999995</v>
      </c>
      <c r="J241" s="12">
        <v>1209</v>
      </c>
      <c r="K241" s="12">
        <v>417733.68</v>
      </c>
      <c r="L241" s="12">
        <v>653682.12</v>
      </c>
      <c r="M241" s="17">
        <v>235948.44</v>
      </c>
      <c r="N241" s="17">
        <v>56.48</v>
      </c>
      <c r="O241" s="16" t="s">
        <v>33</v>
      </c>
      <c r="P241" s="12">
        <v>0.3977</v>
      </c>
      <c r="Q241" s="12">
        <v>1.1000000000000001</v>
      </c>
    </row>
    <row r="242" spans="1:17" x14ac:dyDescent="0.35">
      <c r="A242" s="18" t="s">
        <v>523</v>
      </c>
      <c r="B242" s="18" t="s">
        <v>524</v>
      </c>
      <c r="C242" s="19" t="s">
        <v>77</v>
      </c>
      <c r="D242" s="18" t="s">
        <v>78</v>
      </c>
      <c r="E242" s="20" t="s">
        <v>44</v>
      </c>
      <c r="F242" s="21" t="s">
        <v>38</v>
      </c>
      <c r="G242" s="18" t="s">
        <v>32</v>
      </c>
      <c r="H242" s="18">
        <v>174.05</v>
      </c>
      <c r="I242" s="18">
        <v>233.79</v>
      </c>
      <c r="J242" s="18">
        <v>757</v>
      </c>
      <c r="K242" s="18">
        <v>131755.85</v>
      </c>
      <c r="L242" s="18">
        <v>176979.03</v>
      </c>
      <c r="M242" s="22">
        <v>45223.18</v>
      </c>
      <c r="N242" s="22">
        <v>34.32</v>
      </c>
      <c r="O242" s="23" t="s">
        <v>33</v>
      </c>
      <c r="P242" s="18">
        <v>0.35189999999999999</v>
      </c>
      <c r="Q242" s="18">
        <v>1.38</v>
      </c>
    </row>
    <row r="243" spans="1:17" x14ac:dyDescent="0.35">
      <c r="A243" s="12" t="s">
        <v>525</v>
      </c>
      <c r="B243" s="12" t="s">
        <v>526</v>
      </c>
      <c r="C243" s="13" t="s">
        <v>48</v>
      </c>
      <c r="D243" s="12" t="s">
        <v>49</v>
      </c>
      <c r="E243" s="14" t="s">
        <v>50</v>
      </c>
      <c r="F243" s="15" t="s">
        <v>62</v>
      </c>
      <c r="G243" s="12" t="s">
        <v>32</v>
      </c>
      <c r="H243" s="12">
        <v>65.56</v>
      </c>
      <c r="I243" s="12">
        <v>91.1</v>
      </c>
      <c r="J243" s="12">
        <v>3319</v>
      </c>
      <c r="K243" s="12">
        <v>217593.64</v>
      </c>
      <c r="L243" s="12">
        <v>302360.90000000002</v>
      </c>
      <c r="M243" s="17">
        <v>84767.26</v>
      </c>
      <c r="N243" s="17">
        <v>38.96</v>
      </c>
      <c r="O243" s="16" t="s">
        <v>33</v>
      </c>
      <c r="P243" s="12">
        <v>0.21579999999999999</v>
      </c>
      <c r="Q243" s="12">
        <v>0.6</v>
      </c>
    </row>
    <row r="244" spans="1:17" x14ac:dyDescent="0.35">
      <c r="A244" s="18" t="s">
        <v>527</v>
      </c>
      <c r="B244" s="18" t="s">
        <v>528</v>
      </c>
      <c r="C244" s="19" t="s">
        <v>178</v>
      </c>
      <c r="D244" s="18" t="s">
        <v>179</v>
      </c>
      <c r="E244" s="20" t="s">
        <v>22</v>
      </c>
      <c r="F244" s="21" t="s">
        <v>62</v>
      </c>
      <c r="G244" s="18" t="s">
        <v>39</v>
      </c>
      <c r="H244" s="18">
        <v>176.68</v>
      </c>
      <c r="I244" s="18">
        <v>176.46</v>
      </c>
      <c r="J244" s="18">
        <v>3574</v>
      </c>
      <c r="K244" s="18">
        <v>631454.31999999995</v>
      </c>
      <c r="L244" s="18">
        <v>630668.04</v>
      </c>
      <c r="M244" s="23">
        <v>-786.28</v>
      </c>
      <c r="N244" s="23">
        <v>-0.12</v>
      </c>
      <c r="O244" s="22" t="s">
        <v>25</v>
      </c>
      <c r="P244" s="18">
        <v>0.22639999999999999</v>
      </c>
      <c r="Q244" s="18">
        <v>1.02</v>
      </c>
    </row>
    <row r="245" spans="1:17" x14ac:dyDescent="0.35">
      <c r="A245" s="12" t="s">
        <v>529</v>
      </c>
      <c r="B245" s="12" t="s">
        <v>530</v>
      </c>
      <c r="C245" s="13" t="s">
        <v>83</v>
      </c>
      <c r="D245" s="12" t="s">
        <v>84</v>
      </c>
      <c r="E245" s="14" t="s">
        <v>55</v>
      </c>
      <c r="F245" s="15" t="s">
        <v>31</v>
      </c>
      <c r="G245" s="12" t="s">
        <v>32</v>
      </c>
      <c r="H245" s="12">
        <v>393.1</v>
      </c>
      <c r="I245" s="12">
        <v>603.54999999999995</v>
      </c>
      <c r="J245" s="12">
        <v>3534</v>
      </c>
      <c r="K245" s="12">
        <v>1389215.4</v>
      </c>
      <c r="L245" s="12">
        <v>2132945.7000000002</v>
      </c>
      <c r="M245" s="17">
        <v>743730.3</v>
      </c>
      <c r="N245" s="17">
        <v>53.54</v>
      </c>
      <c r="O245" s="16" t="s">
        <v>33</v>
      </c>
      <c r="P245" s="12">
        <v>0.50229999999999997</v>
      </c>
      <c r="Q245" s="12">
        <v>0.89</v>
      </c>
    </row>
    <row r="246" spans="1:17" x14ac:dyDescent="0.35">
      <c r="A246" s="18" t="s">
        <v>531</v>
      </c>
      <c r="B246" s="18" t="s">
        <v>532</v>
      </c>
      <c r="C246" s="19" t="s">
        <v>60</v>
      </c>
      <c r="D246" s="18" t="s">
        <v>61</v>
      </c>
      <c r="E246" s="20" t="s">
        <v>22</v>
      </c>
      <c r="F246" s="21" t="s">
        <v>38</v>
      </c>
      <c r="G246" s="18" t="s">
        <v>32</v>
      </c>
      <c r="H246" s="18">
        <v>147.22</v>
      </c>
      <c r="I246" s="18">
        <v>219.44</v>
      </c>
      <c r="J246" s="18">
        <v>4997</v>
      </c>
      <c r="K246" s="18">
        <v>735658.34</v>
      </c>
      <c r="L246" s="18">
        <v>1096541.68</v>
      </c>
      <c r="M246" s="22">
        <v>360883.34</v>
      </c>
      <c r="N246" s="22">
        <v>49.06</v>
      </c>
      <c r="O246" s="23" t="s">
        <v>33</v>
      </c>
      <c r="P246" s="18">
        <v>0.22520000000000001</v>
      </c>
      <c r="Q246" s="18">
        <v>0.65</v>
      </c>
    </row>
    <row r="247" spans="1:17" x14ac:dyDescent="0.35">
      <c r="A247" s="12" t="s">
        <v>533</v>
      </c>
      <c r="B247" s="12" t="s">
        <v>392</v>
      </c>
      <c r="C247" s="13" t="s">
        <v>119</v>
      </c>
      <c r="D247" s="12" t="s">
        <v>120</v>
      </c>
      <c r="E247" s="14" t="s">
        <v>44</v>
      </c>
      <c r="F247" s="15" t="s">
        <v>31</v>
      </c>
      <c r="G247" s="12" t="s">
        <v>39</v>
      </c>
      <c r="H247" s="12">
        <v>48.06</v>
      </c>
      <c r="I247" s="12">
        <v>36.19</v>
      </c>
      <c r="J247" s="12">
        <v>1247</v>
      </c>
      <c r="K247" s="12">
        <v>59930.82</v>
      </c>
      <c r="L247" s="12">
        <v>45128.93</v>
      </c>
      <c r="M247" s="16">
        <v>-14801.89</v>
      </c>
      <c r="N247" s="16">
        <v>-24.7</v>
      </c>
      <c r="O247" s="16" t="s">
        <v>33</v>
      </c>
      <c r="P247" s="12">
        <v>0.4708</v>
      </c>
      <c r="Q247" s="12">
        <v>1.48</v>
      </c>
    </row>
    <row r="248" spans="1:17" x14ac:dyDescent="0.35">
      <c r="A248" s="18" t="s">
        <v>534</v>
      </c>
      <c r="B248" s="18" t="s">
        <v>535</v>
      </c>
      <c r="C248" s="19" t="s">
        <v>215</v>
      </c>
      <c r="D248" s="18" t="s">
        <v>216</v>
      </c>
      <c r="E248" s="20" t="s">
        <v>50</v>
      </c>
      <c r="F248" s="21" t="s">
        <v>23</v>
      </c>
      <c r="G248" s="18" t="s">
        <v>65</v>
      </c>
      <c r="H248" s="18">
        <v>178.06</v>
      </c>
      <c r="I248" s="18">
        <v>279.55</v>
      </c>
      <c r="J248" s="18">
        <v>2572</v>
      </c>
      <c r="K248" s="18">
        <v>457970.32</v>
      </c>
      <c r="L248" s="18">
        <v>719002.6</v>
      </c>
      <c r="M248" s="22">
        <v>261032.28</v>
      </c>
      <c r="N248" s="22">
        <v>57</v>
      </c>
      <c r="O248" s="23" t="s">
        <v>33</v>
      </c>
      <c r="P248" s="18">
        <v>0.34410000000000002</v>
      </c>
      <c r="Q248" s="18">
        <v>1.1000000000000001</v>
      </c>
    </row>
    <row r="249" spans="1:17" x14ac:dyDescent="0.35">
      <c r="A249" s="12" t="s">
        <v>536</v>
      </c>
      <c r="B249" s="12" t="s">
        <v>122</v>
      </c>
      <c r="C249" s="13" t="s">
        <v>83</v>
      </c>
      <c r="D249" s="12" t="s">
        <v>84</v>
      </c>
      <c r="E249" s="14" t="s">
        <v>55</v>
      </c>
      <c r="F249" s="15" t="s">
        <v>38</v>
      </c>
      <c r="G249" s="12" t="s">
        <v>32</v>
      </c>
      <c r="H249" s="12">
        <v>379.5</v>
      </c>
      <c r="I249" s="12">
        <v>592.25</v>
      </c>
      <c r="J249" s="12">
        <v>4653</v>
      </c>
      <c r="K249" s="12">
        <v>1765813.5</v>
      </c>
      <c r="L249" s="12">
        <v>2755739.25</v>
      </c>
      <c r="M249" s="17">
        <v>989925.75</v>
      </c>
      <c r="N249" s="17">
        <v>56.06</v>
      </c>
      <c r="O249" s="16" t="s">
        <v>33</v>
      </c>
      <c r="P249" s="12">
        <v>0.52490000000000003</v>
      </c>
      <c r="Q249" s="12">
        <v>1.41</v>
      </c>
    </row>
    <row r="250" spans="1:17" x14ac:dyDescent="0.35">
      <c r="A250" s="18" t="s">
        <v>537</v>
      </c>
      <c r="B250" s="18" t="s">
        <v>538</v>
      </c>
      <c r="C250" s="19" t="s">
        <v>72</v>
      </c>
      <c r="D250" s="18" t="s">
        <v>73</v>
      </c>
      <c r="E250" s="20" t="s">
        <v>74</v>
      </c>
      <c r="F250" s="21" t="s">
        <v>38</v>
      </c>
      <c r="G250" s="18" t="s">
        <v>32</v>
      </c>
      <c r="H250" s="18">
        <v>422.98</v>
      </c>
      <c r="I250" s="18">
        <v>426.67</v>
      </c>
      <c r="J250" s="18">
        <v>1322</v>
      </c>
      <c r="K250" s="18">
        <v>559179.56000000006</v>
      </c>
      <c r="L250" s="18">
        <v>564057.74</v>
      </c>
      <c r="M250" s="22">
        <v>4878.18</v>
      </c>
      <c r="N250" s="22">
        <v>0.87</v>
      </c>
      <c r="O250" s="22" t="s">
        <v>25</v>
      </c>
      <c r="P250" s="18">
        <v>0.3513</v>
      </c>
      <c r="Q250" s="18">
        <v>0.89</v>
      </c>
    </row>
    <row r="251" spans="1:17" x14ac:dyDescent="0.35">
      <c r="A251" s="12" t="s">
        <v>539</v>
      </c>
      <c r="B251" s="12" t="s">
        <v>540</v>
      </c>
      <c r="C251" s="13" t="s">
        <v>150</v>
      </c>
      <c r="D251" s="12" t="s">
        <v>151</v>
      </c>
      <c r="E251" s="14" t="s">
        <v>55</v>
      </c>
      <c r="F251" s="15" t="s">
        <v>38</v>
      </c>
      <c r="G251" s="12" t="s">
        <v>32</v>
      </c>
      <c r="H251" s="12">
        <v>157.9</v>
      </c>
      <c r="I251" s="12">
        <v>245.92</v>
      </c>
      <c r="J251" s="12">
        <v>572</v>
      </c>
      <c r="K251" s="12">
        <v>90318.8</v>
      </c>
      <c r="L251" s="12">
        <v>140666.23999999999</v>
      </c>
      <c r="M251" s="17">
        <v>50347.44</v>
      </c>
      <c r="N251" s="17">
        <v>55.74</v>
      </c>
      <c r="O251" s="16" t="s">
        <v>33</v>
      </c>
      <c r="P251" s="12">
        <v>0.35959999999999998</v>
      </c>
      <c r="Q251" s="12">
        <v>0.76</v>
      </c>
    </row>
    <row r="252" spans="1:17" x14ac:dyDescent="0.35">
      <c r="A252" s="18" t="s">
        <v>541</v>
      </c>
      <c r="B252" s="18" t="s">
        <v>542</v>
      </c>
      <c r="C252" s="19" t="s">
        <v>150</v>
      </c>
      <c r="D252" s="18" t="s">
        <v>151</v>
      </c>
      <c r="E252" s="20" t="s">
        <v>55</v>
      </c>
      <c r="F252" s="21" t="s">
        <v>98</v>
      </c>
      <c r="G252" s="18" t="s">
        <v>39</v>
      </c>
      <c r="H252" s="18">
        <v>174.63</v>
      </c>
      <c r="I252" s="18">
        <v>176.32</v>
      </c>
      <c r="J252" s="18">
        <v>747</v>
      </c>
      <c r="K252" s="18">
        <v>130448.61</v>
      </c>
      <c r="L252" s="18">
        <v>131711.04000000001</v>
      </c>
      <c r="M252" s="22">
        <v>1262.43</v>
      </c>
      <c r="N252" s="22">
        <v>0.97</v>
      </c>
      <c r="O252" s="22" t="s">
        <v>25</v>
      </c>
      <c r="P252" s="18">
        <v>0.1598</v>
      </c>
      <c r="Q252" s="18">
        <v>1.47</v>
      </c>
    </row>
    <row r="253" spans="1:17" x14ac:dyDescent="0.35">
      <c r="A253" s="12" t="s">
        <v>543</v>
      </c>
      <c r="B253" s="12" t="s">
        <v>465</v>
      </c>
      <c r="C253" s="13" t="s">
        <v>95</v>
      </c>
      <c r="D253" s="12" t="s">
        <v>96</v>
      </c>
      <c r="E253" s="14" t="s">
        <v>97</v>
      </c>
      <c r="F253" s="15" t="s">
        <v>38</v>
      </c>
      <c r="G253" s="12" t="s">
        <v>24</v>
      </c>
      <c r="H253" s="12">
        <v>244.66</v>
      </c>
      <c r="I253" s="12">
        <v>247.53</v>
      </c>
      <c r="J253" s="12">
        <v>423</v>
      </c>
      <c r="K253" s="12">
        <v>103491.18</v>
      </c>
      <c r="L253" s="12">
        <v>104705.19</v>
      </c>
      <c r="M253" s="17">
        <v>1214.01</v>
      </c>
      <c r="N253" s="17">
        <v>1.17</v>
      </c>
      <c r="O253" s="17" t="s">
        <v>25</v>
      </c>
      <c r="P253" s="12">
        <v>0.44750000000000001</v>
      </c>
      <c r="Q253" s="12">
        <v>1.47</v>
      </c>
    </row>
    <row r="254" spans="1:17" x14ac:dyDescent="0.35">
      <c r="A254" s="18" t="s">
        <v>544</v>
      </c>
      <c r="B254" s="18" t="s">
        <v>545</v>
      </c>
      <c r="C254" s="19" t="s">
        <v>36</v>
      </c>
      <c r="D254" s="18" t="s">
        <v>37</v>
      </c>
      <c r="E254" s="20" t="s">
        <v>30</v>
      </c>
      <c r="F254" s="21" t="s">
        <v>23</v>
      </c>
      <c r="G254" s="18" t="s">
        <v>39</v>
      </c>
      <c r="H254" s="18">
        <v>197.6</v>
      </c>
      <c r="I254" s="18">
        <v>205.14</v>
      </c>
      <c r="J254" s="18">
        <v>2827</v>
      </c>
      <c r="K254" s="18">
        <v>558615.19999999995</v>
      </c>
      <c r="L254" s="18">
        <v>579930.78</v>
      </c>
      <c r="M254" s="22">
        <v>21315.58</v>
      </c>
      <c r="N254" s="22">
        <v>3.82</v>
      </c>
      <c r="O254" s="22" t="s">
        <v>25</v>
      </c>
      <c r="P254" s="18">
        <v>0.21110000000000001</v>
      </c>
      <c r="Q254" s="18">
        <v>0.83</v>
      </c>
    </row>
    <row r="255" spans="1:17" x14ac:dyDescent="0.35">
      <c r="A255" s="12" t="s">
        <v>546</v>
      </c>
      <c r="B255" s="12" t="s">
        <v>547</v>
      </c>
      <c r="C255" s="13" t="s">
        <v>20</v>
      </c>
      <c r="D255" s="12" t="s">
        <v>21</v>
      </c>
      <c r="E255" s="14" t="s">
        <v>22</v>
      </c>
      <c r="F255" s="15" t="s">
        <v>62</v>
      </c>
      <c r="G255" s="12" t="s">
        <v>39</v>
      </c>
      <c r="H255" s="12">
        <v>581.39</v>
      </c>
      <c r="I255" s="12">
        <v>424.47</v>
      </c>
      <c r="J255" s="12">
        <v>1775</v>
      </c>
      <c r="K255" s="12">
        <v>1031967.25</v>
      </c>
      <c r="L255" s="12">
        <v>753434.25</v>
      </c>
      <c r="M255" s="16">
        <v>-278533</v>
      </c>
      <c r="N255" s="16">
        <v>-26.99</v>
      </c>
      <c r="O255" s="16" t="s">
        <v>33</v>
      </c>
      <c r="P255" s="12">
        <v>0.25829999999999997</v>
      </c>
      <c r="Q255" s="12">
        <v>0.94</v>
      </c>
    </row>
    <row r="256" spans="1:17" x14ac:dyDescent="0.35">
      <c r="A256" s="18" t="s">
        <v>548</v>
      </c>
      <c r="B256" s="18" t="s">
        <v>549</v>
      </c>
      <c r="C256" s="19" t="s">
        <v>119</v>
      </c>
      <c r="D256" s="18" t="s">
        <v>120</v>
      </c>
      <c r="E256" s="20" t="s">
        <v>44</v>
      </c>
      <c r="F256" s="21" t="s">
        <v>98</v>
      </c>
      <c r="G256" s="18" t="s">
        <v>65</v>
      </c>
      <c r="H256" s="18">
        <v>45.98</v>
      </c>
      <c r="I256" s="18">
        <v>68.88</v>
      </c>
      <c r="J256" s="18">
        <v>2242</v>
      </c>
      <c r="K256" s="18">
        <v>103087.16</v>
      </c>
      <c r="L256" s="18">
        <v>154428.96</v>
      </c>
      <c r="M256" s="22">
        <v>51341.8</v>
      </c>
      <c r="N256" s="22">
        <v>49.8</v>
      </c>
      <c r="O256" s="23" t="s">
        <v>33</v>
      </c>
      <c r="P256" s="18">
        <v>0.32040000000000002</v>
      </c>
      <c r="Q256" s="18">
        <v>1.56</v>
      </c>
    </row>
    <row r="257" spans="1:17" x14ac:dyDescent="0.35">
      <c r="A257" s="12" t="s">
        <v>550</v>
      </c>
      <c r="B257" s="12" t="s">
        <v>551</v>
      </c>
      <c r="C257" s="13" t="s">
        <v>115</v>
      </c>
      <c r="D257" s="12" t="s">
        <v>116</v>
      </c>
      <c r="E257" s="14" t="s">
        <v>55</v>
      </c>
      <c r="F257" s="15" t="s">
        <v>98</v>
      </c>
      <c r="G257" s="12" t="s">
        <v>39</v>
      </c>
      <c r="H257" s="12">
        <v>759.86</v>
      </c>
      <c r="I257" s="12">
        <v>667.74</v>
      </c>
      <c r="J257" s="12">
        <v>2663</v>
      </c>
      <c r="K257" s="12">
        <v>2023507.18</v>
      </c>
      <c r="L257" s="12">
        <v>1778191.62</v>
      </c>
      <c r="M257" s="16">
        <v>-245315.56</v>
      </c>
      <c r="N257" s="16">
        <v>-12.12</v>
      </c>
      <c r="O257" s="25" t="s">
        <v>45</v>
      </c>
      <c r="P257" s="12">
        <v>0.21510000000000001</v>
      </c>
      <c r="Q257" s="12">
        <v>0.78</v>
      </c>
    </row>
    <row r="258" spans="1:17" x14ac:dyDescent="0.35">
      <c r="A258" s="18" t="s">
        <v>552</v>
      </c>
      <c r="B258" s="18" t="s">
        <v>232</v>
      </c>
      <c r="C258" s="19" t="s">
        <v>83</v>
      </c>
      <c r="D258" s="18" t="s">
        <v>84</v>
      </c>
      <c r="E258" s="20" t="s">
        <v>55</v>
      </c>
      <c r="F258" s="21" t="s">
        <v>98</v>
      </c>
      <c r="G258" s="18" t="s">
        <v>32</v>
      </c>
      <c r="H258" s="18">
        <v>345.37</v>
      </c>
      <c r="I258" s="18">
        <v>359.53</v>
      </c>
      <c r="J258" s="18">
        <v>1348</v>
      </c>
      <c r="K258" s="18">
        <v>465558.76</v>
      </c>
      <c r="L258" s="18">
        <v>484646.44</v>
      </c>
      <c r="M258" s="22">
        <v>19087.68</v>
      </c>
      <c r="N258" s="22">
        <v>4.0999999999999996</v>
      </c>
      <c r="O258" s="22" t="s">
        <v>25</v>
      </c>
      <c r="P258" s="18">
        <v>0.36499999999999999</v>
      </c>
      <c r="Q258" s="18">
        <v>0.89</v>
      </c>
    </row>
    <row r="259" spans="1:17" x14ac:dyDescent="0.35">
      <c r="A259" s="12" t="s">
        <v>553</v>
      </c>
      <c r="B259" s="12" t="s">
        <v>331</v>
      </c>
      <c r="C259" s="13" t="s">
        <v>36</v>
      </c>
      <c r="D259" s="12" t="s">
        <v>37</v>
      </c>
      <c r="E259" s="14" t="s">
        <v>30</v>
      </c>
      <c r="F259" s="15" t="s">
        <v>98</v>
      </c>
      <c r="G259" s="12" t="s">
        <v>65</v>
      </c>
      <c r="H259" s="12">
        <v>239.39</v>
      </c>
      <c r="I259" s="12">
        <v>318.19</v>
      </c>
      <c r="J259" s="12">
        <v>4102</v>
      </c>
      <c r="K259" s="12">
        <v>981977.78</v>
      </c>
      <c r="L259" s="12">
        <v>1305215.3799999999</v>
      </c>
      <c r="M259" s="17">
        <v>323237.59999999998</v>
      </c>
      <c r="N259" s="17">
        <v>32.92</v>
      </c>
      <c r="O259" s="16" t="s">
        <v>33</v>
      </c>
      <c r="P259" s="12">
        <v>0.33100000000000002</v>
      </c>
      <c r="Q259" s="12">
        <v>0.8</v>
      </c>
    </row>
    <row r="260" spans="1:17" x14ac:dyDescent="0.35">
      <c r="A260" s="18" t="s">
        <v>554</v>
      </c>
      <c r="B260" s="18" t="s">
        <v>555</v>
      </c>
      <c r="C260" s="19" t="s">
        <v>48</v>
      </c>
      <c r="D260" s="18" t="s">
        <v>49</v>
      </c>
      <c r="E260" s="20" t="s">
        <v>50</v>
      </c>
      <c r="F260" s="21" t="s">
        <v>62</v>
      </c>
      <c r="G260" s="18" t="s">
        <v>32</v>
      </c>
      <c r="H260" s="18">
        <v>58.84</v>
      </c>
      <c r="I260" s="18">
        <v>88.41</v>
      </c>
      <c r="J260" s="18">
        <v>4100</v>
      </c>
      <c r="K260" s="18">
        <v>241244</v>
      </c>
      <c r="L260" s="18">
        <v>362481</v>
      </c>
      <c r="M260" s="22">
        <v>121237</v>
      </c>
      <c r="N260" s="22">
        <v>50.25</v>
      </c>
      <c r="O260" s="23" t="s">
        <v>33</v>
      </c>
      <c r="P260" s="18">
        <v>0.54579999999999995</v>
      </c>
      <c r="Q260" s="18">
        <v>1.75</v>
      </c>
    </row>
    <row r="261" spans="1:17" x14ac:dyDescent="0.35">
      <c r="A261" s="12" t="s">
        <v>556</v>
      </c>
      <c r="B261" s="12" t="s">
        <v>557</v>
      </c>
      <c r="C261" s="13" t="s">
        <v>72</v>
      </c>
      <c r="D261" s="12" t="s">
        <v>73</v>
      </c>
      <c r="E261" s="14" t="s">
        <v>74</v>
      </c>
      <c r="F261" s="15" t="s">
        <v>31</v>
      </c>
      <c r="G261" s="12" t="s">
        <v>32</v>
      </c>
      <c r="H261" s="12">
        <v>438.17</v>
      </c>
      <c r="I261" s="12">
        <v>644.01</v>
      </c>
      <c r="J261" s="12">
        <v>152</v>
      </c>
      <c r="K261" s="12">
        <v>66601.84</v>
      </c>
      <c r="L261" s="12">
        <v>97889.52</v>
      </c>
      <c r="M261" s="17">
        <v>31287.68</v>
      </c>
      <c r="N261" s="17">
        <v>46.98</v>
      </c>
      <c r="O261" s="16" t="s">
        <v>33</v>
      </c>
      <c r="P261" s="12">
        <v>0.2195</v>
      </c>
      <c r="Q261" s="12">
        <v>1.45</v>
      </c>
    </row>
    <row r="262" spans="1:17" x14ac:dyDescent="0.35">
      <c r="A262" s="18" t="s">
        <v>558</v>
      </c>
      <c r="B262" s="18" t="s">
        <v>559</v>
      </c>
      <c r="C262" s="19" t="s">
        <v>178</v>
      </c>
      <c r="D262" s="18" t="s">
        <v>179</v>
      </c>
      <c r="E262" s="20" t="s">
        <v>22</v>
      </c>
      <c r="F262" s="21" t="s">
        <v>98</v>
      </c>
      <c r="G262" s="18" t="s">
        <v>39</v>
      </c>
      <c r="H262" s="18">
        <v>181.19</v>
      </c>
      <c r="I262" s="18">
        <v>167.91</v>
      </c>
      <c r="J262" s="18">
        <v>595</v>
      </c>
      <c r="K262" s="18">
        <v>107808.05</v>
      </c>
      <c r="L262" s="18">
        <v>99906.45</v>
      </c>
      <c r="M262" s="23">
        <v>-7901.6</v>
      </c>
      <c r="N262" s="23">
        <v>-7.33</v>
      </c>
      <c r="O262" s="22" t="s">
        <v>25</v>
      </c>
      <c r="P262" s="18">
        <v>0.3851</v>
      </c>
      <c r="Q262" s="18">
        <v>1.18</v>
      </c>
    </row>
    <row r="263" spans="1:17" x14ac:dyDescent="0.35">
      <c r="A263" s="12" t="s">
        <v>560</v>
      </c>
      <c r="B263" s="12" t="s">
        <v>561</v>
      </c>
      <c r="C263" s="13" t="s">
        <v>115</v>
      </c>
      <c r="D263" s="12" t="s">
        <v>116</v>
      </c>
      <c r="E263" s="14" t="s">
        <v>55</v>
      </c>
      <c r="F263" s="15" t="s">
        <v>62</v>
      </c>
      <c r="G263" s="12" t="s">
        <v>32</v>
      </c>
      <c r="H263" s="12">
        <v>759.25</v>
      </c>
      <c r="I263" s="12">
        <v>677.03</v>
      </c>
      <c r="J263" s="12">
        <v>4619</v>
      </c>
      <c r="K263" s="12">
        <v>3506975.75</v>
      </c>
      <c r="L263" s="12">
        <v>3127201.57</v>
      </c>
      <c r="M263" s="16">
        <v>-379774.18</v>
      </c>
      <c r="N263" s="16">
        <v>-10.83</v>
      </c>
      <c r="O263" s="25" t="s">
        <v>45</v>
      </c>
      <c r="P263" s="12">
        <v>0.43049999999999999</v>
      </c>
      <c r="Q263" s="12">
        <v>1.24</v>
      </c>
    </row>
    <row r="264" spans="1:17" x14ac:dyDescent="0.35">
      <c r="A264" s="18" t="s">
        <v>562</v>
      </c>
      <c r="B264" s="18" t="s">
        <v>563</v>
      </c>
      <c r="C264" s="19" t="s">
        <v>137</v>
      </c>
      <c r="D264" s="18" t="s">
        <v>138</v>
      </c>
      <c r="E264" s="20" t="s">
        <v>50</v>
      </c>
      <c r="F264" s="21" t="s">
        <v>23</v>
      </c>
      <c r="G264" s="18" t="s">
        <v>32</v>
      </c>
      <c r="H264" s="18">
        <v>118.17</v>
      </c>
      <c r="I264" s="18">
        <v>147.37</v>
      </c>
      <c r="J264" s="18">
        <v>976</v>
      </c>
      <c r="K264" s="18">
        <v>115333.92</v>
      </c>
      <c r="L264" s="18">
        <v>143833.12</v>
      </c>
      <c r="M264" s="22">
        <v>28499.200000000001</v>
      </c>
      <c r="N264" s="22">
        <v>24.71</v>
      </c>
      <c r="O264" s="23" t="s">
        <v>33</v>
      </c>
      <c r="P264" s="18">
        <v>0.22359999999999999</v>
      </c>
      <c r="Q264" s="18">
        <v>1.34</v>
      </c>
    </row>
    <row r="265" spans="1:17" x14ac:dyDescent="0.35">
      <c r="A265" s="12" t="s">
        <v>564</v>
      </c>
      <c r="B265" s="12" t="s">
        <v>565</v>
      </c>
      <c r="C265" s="13" t="s">
        <v>83</v>
      </c>
      <c r="D265" s="12" t="s">
        <v>84</v>
      </c>
      <c r="E265" s="14" t="s">
        <v>55</v>
      </c>
      <c r="F265" s="15" t="s">
        <v>38</v>
      </c>
      <c r="G265" s="12" t="s">
        <v>24</v>
      </c>
      <c r="H265" s="12">
        <v>365.53</v>
      </c>
      <c r="I265" s="12">
        <v>425.56</v>
      </c>
      <c r="J265" s="12">
        <v>747</v>
      </c>
      <c r="K265" s="12">
        <v>273050.90999999997</v>
      </c>
      <c r="L265" s="12">
        <v>317893.32</v>
      </c>
      <c r="M265" s="17">
        <v>44842.41</v>
      </c>
      <c r="N265" s="17">
        <v>16.420000000000002</v>
      </c>
      <c r="O265" s="25" t="s">
        <v>45</v>
      </c>
      <c r="P265" s="12">
        <v>0.36299999999999999</v>
      </c>
      <c r="Q265" s="12">
        <v>1.79</v>
      </c>
    </row>
    <row r="266" spans="1:17" x14ac:dyDescent="0.35">
      <c r="A266" s="18" t="s">
        <v>566</v>
      </c>
      <c r="B266" s="18" t="s">
        <v>540</v>
      </c>
      <c r="C266" s="19" t="s">
        <v>150</v>
      </c>
      <c r="D266" s="18" t="s">
        <v>151</v>
      </c>
      <c r="E266" s="20" t="s">
        <v>55</v>
      </c>
      <c r="F266" s="21" t="s">
        <v>31</v>
      </c>
      <c r="G266" s="18" t="s">
        <v>32</v>
      </c>
      <c r="H266" s="18">
        <v>150.6</v>
      </c>
      <c r="I266" s="18">
        <v>172.29</v>
      </c>
      <c r="J266" s="18">
        <v>865</v>
      </c>
      <c r="K266" s="18">
        <v>130269</v>
      </c>
      <c r="L266" s="18">
        <v>149030.85</v>
      </c>
      <c r="M266" s="22">
        <v>18761.849999999999</v>
      </c>
      <c r="N266" s="22">
        <v>14.4</v>
      </c>
      <c r="O266" s="24" t="s">
        <v>45</v>
      </c>
      <c r="P266" s="18">
        <v>0.32469999999999999</v>
      </c>
      <c r="Q266" s="18">
        <v>1.36</v>
      </c>
    </row>
    <row r="267" spans="1:17" x14ac:dyDescent="0.35">
      <c r="A267" s="12" t="s">
        <v>567</v>
      </c>
      <c r="B267" s="12" t="s">
        <v>568</v>
      </c>
      <c r="C267" s="13" t="s">
        <v>170</v>
      </c>
      <c r="D267" s="12" t="s">
        <v>171</v>
      </c>
      <c r="E267" s="14" t="s">
        <v>97</v>
      </c>
      <c r="F267" s="15" t="s">
        <v>38</v>
      </c>
      <c r="G267" s="12" t="s">
        <v>39</v>
      </c>
      <c r="H267" s="12">
        <v>147.86000000000001</v>
      </c>
      <c r="I267" s="12">
        <v>150.03</v>
      </c>
      <c r="J267" s="12">
        <v>2813</v>
      </c>
      <c r="K267" s="12">
        <v>415930.18</v>
      </c>
      <c r="L267" s="12">
        <v>422034.39</v>
      </c>
      <c r="M267" s="17">
        <v>6104.21</v>
      </c>
      <c r="N267" s="17">
        <v>1.47</v>
      </c>
      <c r="O267" s="17" t="s">
        <v>25</v>
      </c>
      <c r="P267" s="12">
        <v>0.161</v>
      </c>
      <c r="Q267" s="12">
        <v>1.23</v>
      </c>
    </row>
    <row r="268" spans="1:17" x14ac:dyDescent="0.35">
      <c r="A268" s="18" t="s">
        <v>569</v>
      </c>
      <c r="B268" s="18" t="s">
        <v>570</v>
      </c>
      <c r="C268" s="19" t="s">
        <v>103</v>
      </c>
      <c r="D268" s="18" t="s">
        <v>104</v>
      </c>
      <c r="E268" s="20" t="s">
        <v>22</v>
      </c>
      <c r="F268" s="21" t="s">
        <v>62</v>
      </c>
      <c r="G268" s="18" t="s">
        <v>39</v>
      </c>
      <c r="H268" s="18">
        <v>298.02999999999997</v>
      </c>
      <c r="I268" s="18">
        <v>311.48</v>
      </c>
      <c r="J268" s="18">
        <v>3995</v>
      </c>
      <c r="K268" s="18">
        <v>1190629.8500000001</v>
      </c>
      <c r="L268" s="18">
        <v>1244362.6000000001</v>
      </c>
      <c r="M268" s="22">
        <v>53732.75</v>
      </c>
      <c r="N268" s="22">
        <v>4.51</v>
      </c>
      <c r="O268" s="22" t="s">
        <v>25</v>
      </c>
      <c r="P268" s="18">
        <v>0.4143</v>
      </c>
      <c r="Q268" s="18">
        <v>0.94</v>
      </c>
    </row>
    <row r="269" spans="1:17" x14ac:dyDescent="0.35">
      <c r="A269" s="12" t="s">
        <v>571</v>
      </c>
      <c r="B269" s="12" t="s">
        <v>572</v>
      </c>
      <c r="C269" s="13" t="s">
        <v>36</v>
      </c>
      <c r="D269" s="12" t="s">
        <v>37</v>
      </c>
      <c r="E269" s="14" t="s">
        <v>30</v>
      </c>
      <c r="F269" s="15" t="s">
        <v>23</v>
      </c>
      <c r="G269" s="12" t="s">
        <v>32</v>
      </c>
      <c r="H269" s="12">
        <v>179.49</v>
      </c>
      <c r="I269" s="12">
        <v>183.98</v>
      </c>
      <c r="J269" s="12">
        <v>2676</v>
      </c>
      <c r="K269" s="12">
        <v>480315.24</v>
      </c>
      <c r="L269" s="12">
        <v>492330.48</v>
      </c>
      <c r="M269" s="17">
        <v>12015.24</v>
      </c>
      <c r="N269" s="17">
        <v>2.5</v>
      </c>
      <c r="O269" s="17" t="s">
        <v>25</v>
      </c>
      <c r="P269" s="12">
        <v>0.182</v>
      </c>
      <c r="Q269" s="12">
        <v>1.58</v>
      </c>
    </row>
    <row r="270" spans="1:17" x14ac:dyDescent="0.35">
      <c r="A270" s="18" t="s">
        <v>573</v>
      </c>
      <c r="B270" s="18" t="s">
        <v>574</v>
      </c>
      <c r="C270" s="19" t="s">
        <v>77</v>
      </c>
      <c r="D270" s="18" t="s">
        <v>78</v>
      </c>
      <c r="E270" s="20" t="s">
        <v>44</v>
      </c>
      <c r="F270" s="21" t="s">
        <v>23</v>
      </c>
      <c r="G270" s="18" t="s">
        <v>24</v>
      </c>
      <c r="H270" s="18">
        <v>152.15</v>
      </c>
      <c r="I270" s="18">
        <v>222.79</v>
      </c>
      <c r="J270" s="18">
        <v>4719</v>
      </c>
      <c r="K270" s="18">
        <v>717995.85</v>
      </c>
      <c r="L270" s="18">
        <v>1051346.01</v>
      </c>
      <c r="M270" s="22">
        <v>333350.15999999997</v>
      </c>
      <c r="N270" s="22">
        <v>46.43</v>
      </c>
      <c r="O270" s="23" t="s">
        <v>33</v>
      </c>
      <c r="P270" s="18">
        <v>0.2873</v>
      </c>
      <c r="Q270" s="18">
        <v>1.68</v>
      </c>
    </row>
    <row r="271" spans="1:17" x14ac:dyDescent="0.35">
      <c r="A271" s="12" t="s">
        <v>575</v>
      </c>
      <c r="B271" s="12" t="s">
        <v>576</v>
      </c>
      <c r="C271" s="13" t="s">
        <v>215</v>
      </c>
      <c r="D271" s="12" t="s">
        <v>216</v>
      </c>
      <c r="E271" s="14" t="s">
        <v>50</v>
      </c>
      <c r="F271" s="15" t="s">
        <v>31</v>
      </c>
      <c r="G271" s="12" t="s">
        <v>32</v>
      </c>
      <c r="H271" s="12">
        <v>171.78</v>
      </c>
      <c r="I271" s="12">
        <v>192.75</v>
      </c>
      <c r="J271" s="12">
        <v>4202</v>
      </c>
      <c r="K271" s="12">
        <v>721819.56</v>
      </c>
      <c r="L271" s="12">
        <v>809935.5</v>
      </c>
      <c r="M271" s="17">
        <v>88115.94</v>
      </c>
      <c r="N271" s="17">
        <v>12.21</v>
      </c>
      <c r="O271" s="25" t="s">
        <v>45</v>
      </c>
      <c r="P271" s="12">
        <v>0.16200000000000001</v>
      </c>
      <c r="Q271" s="12">
        <v>0.88</v>
      </c>
    </row>
    <row r="272" spans="1:17" x14ac:dyDescent="0.35">
      <c r="A272" s="18" t="s">
        <v>577</v>
      </c>
      <c r="B272" s="18" t="s">
        <v>41</v>
      </c>
      <c r="C272" s="19" t="s">
        <v>60</v>
      </c>
      <c r="D272" s="18" t="s">
        <v>61</v>
      </c>
      <c r="E272" s="20" t="s">
        <v>22</v>
      </c>
      <c r="F272" s="21" t="s">
        <v>98</v>
      </c>
      <c r="G272" s="18" t="s">
        <v>32</v>
      </c>
      <c r="H272" s="18">
        <v>145.63</v>
      </c>
      <c r="I272" s="18">
        <v>208.03</v>
      </c>
      <c r="J272" s="18">
        <v>342</v>
      </c>
      <c r="K272" s="18">
        <v>49805.46</v>
      </c>
      <c r="L272" s="18">
        <v>71146.259999999995</v>
      </c>
      <c r="M272" s="22">
        <v>21340.799999999999</v>
      </c>
      <c r="N272" s="22">
        <v>42.85</v>
      </c>
      <c r="O272" s="23" t="s">
        <v>33</v>
      </c>
      <c r="P272" s="18">
        <v>0.31369999999999998</v>
      </c>
      <c r="Q272" s="18">
        <v>0.87</v>
      </c>
    </row>
    <row r="273" spans="1:17" x14ac:dyDescent="0.35">
      <c r="A273" s="12" t="s">
        <v>578</v>
      </c>
      <c r="B273" s="12" t="s">
        <v>579</v>
      </c>
      <c r="C273" s="13" t="s">
        <v>36</v>
      </c>
      <c r="D273" s="12" t="s">
        <v>37</v>
      </c>
      <c r="E273" s="14" t="s">
        <v>30</v>
      </c>
      <c r="F273" s="15" t="s">
        <v>23</v>
      </c>
      <c r="G273" s="12" t="s">
        <v>32</v>
      </c>
      <c r="H273" s="12">
        <v>220.12</v>
      </c>
      <c r="I273" s="12">
        <v>206.91</v>
      </c>
      <c r="J273" s="12">
        <v>4899</v>
      </c>
      <c r="K273" s="12">
        <v>1078367.8799999999</v>
      </c>
      <c r="L273" s="12">
        <v>1013652.09</v>
      </c>
      <c r="M273" s="16">
        <v>-64715.79</v>
      </c>
      <c r="N273" s="16">
        <v>-6</v>
      </c>
      <c r="O273" s="17" t="s">
        <v>25</v>
      </c>
      <c r="P273" s="12">
        <v>0.38600000000000001</v>
      </c>
      <c r="Q273" s="12">
        <v>1.56</v>
      </c>
    </row>
    <row r="274" spans="1:17" x14ac:dyDescent="0.35">
      <c r="A274" s="18" t="s">
        <v>580</v>
      </c>
      <c r="B274" s="18" t="s">
        <v>568</v>
      </c>
      <c r="C274" s="19" t="s">
        <v>60</v>
      </c>
      <c r="D274" s="18" t="s">
        <v>61</v>
      </c>
      <c r="E274" s="20" t="s">
        <v>22</v>
      </c>
      <c r="F274" s="21" t="s">
        <v>23</v>
      </c>
      <c r="G274" s="18" t="s">
        <v>24</v>
      </c>
      <c r="H274" s="18">
        <v>148.88999999999999</v>
      </c>
      <c r="I274" s="18">
        <v>197.09</v>
      </c>
      <c r="J274" s="18">
        <v>3212</v>
      </c>
      <c r="K274" s="18">
        <v>478234.68</v>
      </c>
      <c r="L274" s="18">
        <v>633053.07999999996</v>
      </c>
      <c r="M274" s="22">
        <v>154818.4</v>
      </c>
      <c r="N274" s="22">
        <v>32.369999999999997</v>
      </c>
      <c r="O274" s="23" t="s">
        <v>33</v>
      </c>
      <c r="P274" s="18">
        <v>0.43809999999999999</v>
      </c>
      <c r="Q274" s="18">
        <v>0.98</v>
      </c>
    </row>
    <row r="275" spans="1:17" x14ac:dyDescent="0.35">
      <c r="A275" s="12" t="s">
        <v>581</v>
      </c>
      <c r="B275" s="12" t="s">
        <v>316</v>
      </c>
      <c r="C275" s="13" t="s">
        <v>20</v>
      </c>
      <c r="D275" s="12" t="s">
        <v>21</v>
      </c>
      <c r="E275" s="14" t="s">
        <v>22</v>
      </c>
      <c r="F275" s="15" t="s">
        <v>98</v>
      </c>
      <c r="G275" s="12" t="s">
        <v>32</v>
      </c>
      <c r="H275" s="12">
        <v>574.79</v>
      </c>
      <c r="I275" s="12">
        <v>614.36</v>
      </c>
      <c r="J275" s="12">
        <v>3743</v>
      </c>
      <c r="K275" s="12">
        <v>2151438.9700000002</v>
      </c>
      <c r="L275" s="12">
        <v>2299549.48</v>
      </c>
      <c r="M275" s="17">
        <v>148110.51</v>
      </c>
      <c r="N275" s="17">
        <v>6.88</v>
      </c>
      <c r="O275" s="17" t="s">
        <v>25</v>
      </c>
      <c r="P275" s="12">
        <v>0.17699999999999999</v>
      </c>
      <c r="Q275" s="12">
        <v>0.82</v>
      </c>
    </row>
    <row r="276" spans="1:17" x14ac:dyDescent="0.35">
      <c r="A276" s="18" t="s">
        <v>582</v>
      </c>
      <c r="B276" s="18" t="s">
        <v>583</v>
      </c>
      <c r="C276" s="19" t="s">
        <v>119</v>
      </c>
      <c r="D276" s="18" t="s">
        <v>120</v>
      </c>
      <c r="E276" s="20" t="s">
        <v>44</v>
      </c>
      <c r="F276" s="21" t="s">
        <v>31</v>
      </c>
      <c r="G276" s="18" t="s">
        <v>32</v>
      </c>
      <c r="H276" s="18">
        <v>42.09</v>
      </c>
      <c r="I276" s="18">
        <v>53.37</v>
      </c>
      <c r="J276" s="18">
        <v>315</v>
      </c>
      <c r="K276" s="18">
        <v>13258.35</v>
      </c>
      <c r="L276" s="18">
        <v>16811.55</v>
      </c>
      <c r="M276" s="22">
        <v>3553.2</v>
      </c>
      <c r="N276" s="22">
        <v>26.8</v>
      </c>
      <c r="O276" s="23" t="s">
        <v>33</v>
      </c>
      <c r="P276" s="18">
        <v>0.37669999999999998</v>
      </c>
      <c r="Q276" s="18">
        <v>1.54</v>
      </c>
    </row>
    <row r="277" spans="1:17" x14ac:dyDescent="0.35">
      <c r="A277" s="12" t="s">
        <v>584</v>
      </c>
      <c r="B277" s="12" t="s">
        <v>585</v>
      </c>
      <c r="C277" s="13" t="s">
        <v>77</v>
      </c>
      <c r="D277" s="12" t="s">
        <v>78</v>
      </c>
      <c r="E277" s="14" t="s">
        <v>44</v>
      </c>
      <c r="F277" s="15" t="s">
        <v>38</v>
      </c>
      <c r="G277" s="12" t="s">
        <v>24</v>
      </c>
      <c r="H277" s="12">
        <v>178.82</v>
      </c>
      <c r="I277" s="12">
        <v>248.09</v>
      </c>
      <c r="J277" s="12">
        <v>3276</v>
      </c>
      <c r="K277" s="12">
        <v>585814.31999999995</v>
      </c>
      <c r="L277" s="12">
        <v>812742.84</v>
      </c>
      <c r="M277" s="17">
        <v>226928.52</v>
      </c>
      <c r="N277" s="17">
        <v>38.74</v>
      </c>
      <c r="O277" s="16" t="s">
        <v>33</v>
      </c>
      <c r="P277" s="12">
        <v>0.36059999999999998</v>
      </c>
      <c r="Q277" s="12">
        <v>1.79</v>
      </c>
    </row>
    <row r="278" spans="1:17" x14ac:dyDescent="0.35">
      <c r="A278" s="18" t="s">
        <v>586</v>
      </c>
      <c r="B278" s="18" t="s">
        <v>587</v>
      </c>
      <c r="C278" s="19" t="s">
        <v>150</v>
      </c>
      <c r="D278" s="18" t="s">
        <v>151</v>
      </c>
      <c r="E278" s="20" t="s">
        <v>55</v>
      </c>
      <c r="F278" s="21" t="s">
        <v>38</v>
      </c>
      <c r="G278" s="18" t="s">
        <v>32</v>
      </c>
      <c r="H278" s="18">
        <v>138.21</v>
      </c>
      <c r="I278" s="18">
        <v>150.76</v>
      </c>
      <c r="J278" s="18">
        <v>1488</v>
      </c>
      <c r="K278" s="18">
        <v>205656.48</v>
      </c>
      <c r="L278" s="18">
        <v>224330.88</v>
      </c>
      <c r="M278" s="22">
        <v>18674.400000000001</v>
      </c>
      <c r="N278" s="22">
        <v>9.08</v>
      </c>
      <c r="O278" s="24" t="s">
        <v>45</v>
      </c>
      <c r="P278" s="18">
        <v>0.33200000000000002</v>
      </c>
      <c r="Q278" s="18">
        <v>0.68</v>
      </c>
    </row>
    <row r="279" spans="1:17" x14ac:dyDescent="0.35">
      <c r="A279" s="12" t="s">
        <v>588</v>
      </c>
      <c r="B279" s="12" t="s">
        <v>589</v>
      </c>
      <c r="C279" s="13" t="s">
        <v>42</v>
      </c>
      <c r="D279" s="12" t="s">
        <v>43</v>
      </c>
      <c r="E279" s="14" t="s">
        <v>44</v>
      </c>
      <c r="F279" s="15" t="s">
        <v>98</v>
      </c>
      <c r="G279" s="12" t="s">
        <v>32</v>
      </c>
      <c r="H279" s="12">
        <v>596.64</v>
      </c>
      <c r="I279" s="12">
        <v>675.87</v>
      </c>
      <c r="J279" s="12">
        <v>4066</v>
      </c>
      <c r="K279" s="12">
        <v>2425938.2400000002</v>
      </c>
      <c r="L279" s="12">
        <v>2748087.42</v>
      </c>
      <c r="M279" s="17">
        <v>322149.18</v>
      </c>
      <c r="N279" s="17">
        <v>13.28</v>
      </c>
      <c r="O279" s="25" t="s">
        <v>45</v>
      </c>
      <c r="P279" s="12">
        <v>0.52600000000000002</v>
      </c>
      <c r="Q279" s="12">
        <v>1.47</v>
      </c>
    </row>
    <row r="280" spans="1:17" x14ac:dyDescent="0.35">
      <c r="A280" s="18" t="s">
        <v>590</v>
      </c>
      <c r="B280" s="18" t="s">
        <v>591</v>
      </c>
      <c r="C280" s="19" t="s">
        <v>115</v>
      </c>
      <c r="D280" s="18" t="s">
        <v>116</v>
      </c>
      <c r="E280" s="20" t="s">
        <v>55</v>
      </c>
      <c r="F280" s="21" t="s">
        <v>38</v>
      </c>
      <c r="G280" s="18" t="s">
        <v>39</v>
      </c>
      <c r="H280" s="18">
        <v>694.7</v>
      </c>
      <c r="I280" s="18">
        <v>432.88</v>
      </c>
      <c r="J280" s="18">
        <v>976</v>
      </c>
      <c r="K280" s="18">
        <v>678027.2</v>
      </c>
      <c r="L280" s="18">
        <v>422490.88</v>
      </c>
      <c r="M280" s="23">
        <v>-255536.32</v>
      </c>
      <c r="N280" s="23">
        <v>-37.69</v>
      </c>
      <c r="O280" s="23" t="s">
        <v>33</v>
      </c>
      <c r="P280" s="18">
        <v>0.29010000000000002</v>
      </c>
      <c r="Q280" s="18">
        <v>1.61</v>
      </c>
    </row>
    <row r="281" spans="1:17" x14ac:dyDescent="0.35">
      <c r="A281" s="12" t="s">
        <v>592</v>
      </c>
      <c r="B281" s="12" t="s">
        <v>256</v>
      </c>
      <c r="C281" s="13" t="s">
        <v>77</v>
      </c>
      <c r="D281" s="12" t="s">
        <v>78</v>
      </c>
      <c r="E281" s="14" t="s">
        <v>44</v>
      </c>
      <c r="F281" s="15" t="s">
        <v>98</v>
      </c>
      <c r="G281" s="12" t="s">
        <v>39</v>
      </c>
      <c r="H281" s="12">
        <v>180.62</v>
      </c>
      <c r="I281" s="12">
        <v>183.4</v>
      </c>
      <c r="J281" s="12">
        <v>3627</v>
      </c>
      <c r="K281" s="12">
        <v>655108.74</v>
      </c>
      <c r="L281" s="12">
        <v>665191.80000000005</v>
      </c>
      <c r="M281" s="17">
        <v>10083.06</v>
      </c>
      <c r="N281" s="17">
        <v>1.54</v>
      </c>
      <c r="O281" s="17" t="s">
        <v>25</v>
      </c>
      <c r="P281" s="12">
        <v>0.53890000000000005</v>
      </c>
      <c r="Q281" s="12">
        <v>0.76</v>
      </c>
    </row>
    <row r="282" spans="1:17" x14ac:dyDescent="0.35">
      <c r="A282" s="18" t="s">
        <v>593</v>
      </c>
      <c r="B282" s="18" t="s">
        <v>594</v>
      </c>
      <c r="C282" s="19" t="s">
        <v>215</v>
      </c>
      <c r="D282" s="18" t="s">
        <v>216</v>
      </c>
      <c r="E282" s="20" t="s">
        <v>50</v>
      </c>
      <c r="F282" s="21" t="s">
        <v>38</v>
      </c>
      <c r="G282" s="18" t="s">
        <v>39</v>
      </c>
      <c r="H282" s="18">
        <v>144.53</v>
      </c>
      <c r="I282" s="18">
        <v>116.09</v>
      </c>
      <c r="J282" s="18">
        <v>2673</v>
      </c>
      <c r="K282" s="18">
        <v>386328.69</v>
      </c>
      <c r="L282" s="18">
        <v>310308.57</v>
      </c>
      <c r="M282" s="23">
        <v>-76020.12</v>
      </c>
      <c r="N282" s="23">
        <v>-19.68</v>
      </c>
      <c r="O282" s="24" t="s">
        <v>45</v>
      </c>
      <c r="P282" s="18">
        <v>0.25719999999999998</v>
      </c>
      <c r="Q282" s="18">
        <v>1.48</v>
      </c>
    </row>
    <row r="283" spans="1:17" x14ac:dyDescent="0.35">
      <c r="A283" s="12" t="s">
        <v>595</v>
      </c>
      <c r="B283" s="12" t="s">
        <v>596</v>
      </c>
      <c r="C283" s="13" t="s">
        <v>115</v>
      </c>
      <c r="D283" s="12" t="s">
        <v>116</v>
      </c>
      <c r="E283" s="14" t="s">
        <v>55</v>
      </c>
      <c r="F283" s="15" t="s">
        <v>98</v>
      </c>
      <c r="G283" s="12" t="s">
        <v>39</v>
      </c>
      <c r="H283" s="12">
        <v>728.59</v>
      </c>
      <c r="I283" s="12">
        <v>715.11</v>
      </c>
      <c r="J283" s="12">
        <v>3180</v>
      </c>
      <c r="K283" s="12">
        <v>2316916.2000000002</v>
      </c>
      <c r="L283" s="12">
        <v>2274049.7999999998</v>
      </c>
      <c r="M283" s="16">
        <v>-42866.400000000001</v>
      </c>
      <c r="N283" s="16">
        <v>-1.85</v>
      </c>
      <c r="O283" s="17" t="s">
        <v>25</v>
      </c>
      <c r="P283" s="12">
        <v>0.27700000000000002</v>
      </c>
      <c r="Q283" s="12">
        <v>1.72</v>
      </c>
    </row>
    <row r="284" spans="1:17" x14ac:dyDescent="0.35">
      <c r="A284" s="18" t="s">
        <v>597</v>
      </c>
      <c r="B284" s="18" t="s">
        <v>598</v>
      </c>
      <c r="C284" s="19" t="s">
        <v>95</v>
      </c>
      <c r="D284" s="18" t="s">
        <v>96</v>
      </c>
      <c r="E284" s="20" t="s">
        <v>97</v>
      </c>
      <c r="F284" s="21" t="s">
        <v>62</v>
      </c>
      <c r="G284" s="18" t="s">
        <v>32</v>
      </c>
      <c r="H284" s="18">
        <v>249.9</v>
      </c>
      <c r="I284" s="18">
        <v>300.66000000000003</v>
      </c>
      <c r="J284" s="18">
        <v>320</v>
      </c>
      <c r="K284" s="18">
        <v>79968</v>
      </c>
      <c r="L284" s="18">
        <v>96211.199999999997</v>
      </c>
      <c r="M284" s="22">
        <v>16243.2</v>
      </c>
      <c r="N284" s="22">
        <v>20.309999999999999</v>
      </c>
      <c r="O284" s="24" t="s">
        <v>45</v>
      </c>
      <c r="P284" s="18">
        <v>0.42459999999999998</v>
      </c>
      <c r="Q284" s="18">
        <v>1.1299999999999999</v>
      </c>
    </row>
    <row r="285" spans="1:17" x14ac:dyDescent="0.35">
      <c r="A285" s="12" t="s">
        <v>599</v>
      </c>
      <c r="B285" s="12" t="s">
        <v>600</v>
      </c>
      <c r="C285" s="13" t="s">
        <v>137</v>
      </c>
      <c r="D285" s="12" t="s">
        <v>138</v>
      </c>
      <c r="E285" s="14" t="s">
        <v>50</v>
      </c>
      <c r="F285" s="15" t="s">
        <v>38</v>
      </c>
      <c r="G285" s="12" t="s">
        <v>32</v>
      </c>
      <c r="H285" s="12">
        <v>93.63</v>
      </c>
      <c r="I285" s="12">
        <v>102.24</v>
      </c>
      <c r="J285" s="12">
        <v>4190</v>
      </c>
      <c r="K285" s="12">
        <v>392309.7</v>
      </c>
      <c r="L285" s="12">
        <v>428385.6</v>
      </c>
      <c r="M285" s="17">
        <v>36075.9</v>
      </c>
      <c r="N285" s="17">
        <v>9.1999999999999993</v>
      </c>
      <c r="O285" s="25" t="s">
        <v>45</v>
      </c>
      <c r="P285" s="12">
        <v>0.22869999999999999</v>
      </c>
      <c r="Q285" s="12">
        <v>0.78</v>
      </c>
    </row>
    <row r="286" spans="1:17" x14ac:dyDescent="0.35">
      <c r="A286" s="18" t="s">
        <v>601</v>
      </c>
      <c r="B286" s="18" t="s">
        <v>602</v>
      </c>
      <c r="C286" s="19" t="s">
        <v>42</v>
      </c>
      <c r="D286" s="18" t="s">
        <v>43</v>
      </c>
      <c r="E286" s="20" t="s">
        <v>44</v>
      </c>
      <c r="F286" s="21" t="s">
        <v>38</v>
      </c>
      <c r="G286" s="18" t="s">
        <v>32</v>
      </c>
      <c r="H286" s="18">
        <v>546.57000000000005</v>
      </c>
      <c r="I286" s="18">
        <v>634.33000000000004</v>
      </c>
      <c r="J286" s="18">
        <v>4998</v>
      </c>
      <c r="K286" s="18">
        <v>2731756.86</v>
      </c>
      <c r="L286" s="18">
        <v>3170381.34</v>
      </c>
      <c r="M286" s="22">
        <v>438624.48</v>
      </c>
      <c r="N286" s="22">
        <v>16.059999999999999</v>
      </c>
      <c r="O286" s="24" t="s">
        <v>45</v>
      </c>
      <c r="P286" s="18">
        <v>0.33779999999999999</v>
      </c>
      <c r="Q286" s="18">
        <v>1.7</v>
      </c>
    </row>
    <row r="287" spans="1:17" x14ac:dyDescent="0.35">
      <c r="A287" s="12" t="s">
        <v>603</v>
      </c>
      <c r="B287" s="12" t="s">
        <v>416</v>
      </c>
      <c r="C287" s="13" t="s">
        <v>42</v>
      </c>
      <c r="D287" s="12" t="s">
        <v>43</v>
      </c>
      <c r="E287" s="14" t="s">
        <v>44</v>
      </c>
      <c r="F287" s="15" t="s">
        <v>98</v>
      </c>
      <c r="G287" s="12" t="s">
        <v>32</v>
      </c>
      <c r="H287" s="12">
        <v>565.48</v>
      </c>
      <c r="I287" s="12">
        <v>859.58</v>
      </c>
      <c r="J287" s="12">
        <v>4498</v>
      </c>
      <c r="K287" s="12">
        <v>2543529.04</v>
      </c>
      <c r="L287" s="12">
        <v>3866390.84</v>
      </c>
      <c r="M287" s="17">
        <v>1322861.8</v>
      </c>
      <c r="N287" s="17">
        <v>52.01</v>
      </c>
      <c r="O287" s="16" t="s">
        <v>33</v>
      </c>
      <c r="P287" s="12">
        <v>0.16700000000000001</v>
      </c>
      <c r="Q287" s="12">
        <v>0.9</v>
      </c>
    </row>
    <row r="288" spans="1:17" x14ac:dyDescent="0.35">
      <c r="A288" s="18" t="s">
        <v>604</v>
      </c>
      <c r="B288" s="18" t="s">
        <v>423</v>
      </c>
      <c r="C288" s="19" t="s">
        <v>48</v>
      </c>
      <c r="D288" s="18" t="s">
        <v>49</v>
      </c>
      <c r="E288" s="20" t="s">
        <v>50</v>
      </c>
      <c r="F288" s="21" t="s">
        <v>62</v>
      </c>
      <c r="G288" s="18" t="s">
        <v>32</v>
      </c>
      <c r="H288" s="18">
        <v>74.099999999999994</v>
      </c>
      <c r="I288" s="18">
        <v>82.41</v>
      </c>
      <c r="J288" s="18">
        <v>3373</v>
      </c>
      <c r="K288" s="18">
        <v>249939.3</v>
      </c>
      <c r="L288" s="18">
        <v>277968.93</v>
      </c>
      <c r="M288" s="22">
        <v>28029.63</v>
      </c>
      <c r="N288" s="22">
        <v>11.21</v>
      </c>
      <c r="O288" s="24" t="s">
        <v>45</v>
      </c>
      <c r="P288" s="18">
        <v>0.46239999999999998</v>
      </c>
      <c r="Q288" s="18">
        <v>0.73</v>
      </c>
    </row>
    <row r="289" spans="1:17" x14ac:dyDescent="0.35">
      <c r="A289" s="12" t="s">
        <v>605</v>
      </c>
      <c r="B289" s="12" t="s">
        <v>606</v>
      </c>
      <c r="C289" s="13" t="s">
        <v>20</v>
      </c>
      <c r="D289" s="12" t="s">
        <v>21</v>
      </c>
      <c r="E289" s="14" t="s">
        <v>22</v>
      </c>
      <c r="F289" s="15" t="s">
        <v>62</v>
      </c>
      <c r="G289" s="12" t="s">
        <v>39</v>
      </c>
      <c r="H289" s="12">
        <v>610.44000000000005</v>
      </c>
      <c r="I289" s="12">
        <v>571.57000000000005</v>
      </c>
      <c r="J289" s="12">
        <v>4349</v>
      </c>
      <c r="K289" s="12">
        <v>2654803.56</v>
      </c>
      <c r="L289" s="12">
        <v>2485757.9300000002</v>
      </c>
      <c r="M289" s="16">
        <v>-169045.63</v>
      </c>
      <c r="N289" s="16">
        <v>-6.37</v>
      </c>
      <c r="O289" s="17" t="s">
        <v>25</v>
      </c>
      <c r="P289" s="12">
        <v>0.215</v>
      </c>
      <c r="Q289" s="12">
        <v>1.05</v>
      </c>
    </row>
    <row r="290" spans="1:17" x14ac:dyDescent="0.35">
      <c r="A290" s="18" t="s">
        <v>607</v>
      </c>
      <c r="B290" s="18" t="s">
        <v>608</v>
      </c>
      <c r="C290" s="19" t="s">
        <v>119</v>
      </c>
      <c r="D290" s="18" t="s">
        <v>120</v>
      </c>
      <c r="E290" s="20" t="s">
        <v>44</v>
      </c>
      <c r="F290" s="21" t="s">
        <v>98</v>
      </c>
      <c r="G290" s="18" t="s">
        <v>32</v>
      </c>
      <c r="H290" s="18">
        <v>47.75</v>
      </c>
      <c r="I290" s="18">
        <v>51.89</v>
      </c>
      <c r="J290" s="18">
        <v>301</v>
      </c>
      <c r="K290" s="18">
        <v>14372.75</v>
      </c>
      <c r="L290" s="18">
        <v>15618.89</v>
      </c>
      <c r="M290" s="22">
        <v>1246.1400000000001</v>
      </c>
      <c r="N290" s="22">
        <v>8.67</v>
      </c>
      <c r="O290" s="24" t="s">
        <v>45</v>
      </c>
      <c r="P290" s="18">
        <v>0.51580000000000004</v>
      </c>
      <c r="Q290" s="18">
        <v>0.7</v>
      </c>
    </row>
    <row r="291" spans="1:17" x14ac:dyDescent="0.35">
      <c r="A291" s="12" t="s">
        <v>609</v>
      </c>
      <c r="B291" s="12" t="s">
        <v>610</v>
      </c>
      <c r="C291" s="13" t="s">
        <v>87</v>
      </c>
      <c r="D291" s="12" t="s">
        <v>88</v>
      </c>
      <c r="E291" s="14" t="s">
        <v>22</v>
      </c>
      <c r="F291" s="15" t="s">
        <v>98</v>
      </c>
      <c r="G291" s="12" t="s">
        <v>24</v>
      </c>
      <c r="H291" s="12">
        <v>379.85</v>
      </c>
      <c r="I291" s="12">
        <v>472.83</v>
      </c>
      <c r="J291" s="12">
        <v>3830</v>
      </c>
      <c r="K291" s="12">
        <v>1454825.5</v>
      </c>
      <c r="L291" s="12">
        <v>1810938.9</v>
      </c>
      <c r="M291" s="17">
        <v>356113.4</v>
      </c>
      <c r="N291" s="17">
        <v>24.48</v>
      </c>
      <c r="O291" s="16" t="s">
        <v>33</v>
      </c>
      <c r="P291" s="12">
        <v>0.26979999999999998</v>
      </c>
      <c r="Q291" s="12">
        <v>0.72</v>
      </c>
    </row>
    <row r="292" spans="1:17" x14ac:dyDescent="0.35">
      <c r="A292" s="18" t="s">
        <v>611</v>
      </c>
      <c r="B292" s="18" t="s">
        <v>538</v>
      </c>
      <c r="C292" s="19" t="s">
        <v>119</v>
      </c>
      <c r="D292" s="18" t="s">
        <v>120</v>
      </c>
      <c r="E292" s="20" t="s">
        <v>44</v>
      </c>
      <c r="F292" s="21" t="s">
        <v>98</v>
      </c>
      <c r="G292" s="18" t="s">
        <v>32</v>
      </c>
      <c r="H292" s="18">
        <v>52.47</v>
      </c>
      <c r="I292" s="18">
        <v>50.4</v>
      </c>
      <c r="J292" s="18">
        <v>466</v>
      </c>
      <c r="K292" s="18">
        <v>24451.02</v>
      </c>
      <c r="L292" s="18">
        <v>23486.400000000001</v>
      </c>
      <c r="M292" s="23">
        <v>-964.62</v>
      </c>
      <c r="N292" s="23">
        <v>-3.95</v>
      </c>
      <c r="O292" s="22" t="s">
        <v>25</v>
      </c>
      <c r="P292" s="18">
        <v>0.48509999999999998</v>
      </c>
      <c r="Q292" s="18">
        <v>1.38</v>
      </c>
    </row>
    <row r="293" spans="1:17" x14ac:dyDescent="0.35">
      <c r="A293" s="12" t="s">
        <v>612</v>
      </c>
      <c r="B293" s="12" t="s">
        <v>613</v>
      </c>
      <c r="C293" s="13" t="s">
        <v>170</v>
      </c>
      <c r="D293" s="12" t="s">
        <v>171</v>
      </c>
      <c r="E293" s="14" t="s">
        <v>97</v>
      </c>
      <c r="F293" s="15" t="s">
        <v>62</v>
      </c>
      <c r="G293" s="12" t="s">
        <v>32</v>
      </c>
      <c r="H293" s="12">
        <v>137.65</v>
      </c>
      <c r="I293" s="12">
        <v>162.21</v>
      </c>
      <c r="J293" s="12">
        <v>1411</v>
      </c>
      <c r="K293" s="12">
        <v>194224.15</v>
      </c>
      <c r="L293" s="12">
        <v>228878.31</v>
      </c>
      <c r="M293" s="17">
        <v>34654.160000000003</v>
      </c>
      <c r="N293" s="17">
        <v>17.84</v>
      </c>
      <c r="O293" s="25" t="s">
        <v>45</v>
      </c>
      <c r="P293" s="12">
        <v>0.31869999999999998</v>
      </c>
      <c r="Q293" s="12">
        <v>1.56</v>
      </c>
    </row>
    <row r="294" spans="1:17" x14ac:dyDescent="0.35">
      <c r="A294" s="18" t="s">
        <v>614</v>
      </c>
      <c r="B294" s="18" t="s">
        <v>615</v>
      </c>
      <c r="C294" s="19" t="s">
        <v>170</v>
      </c>
      <c r="D294" s="18" t="s">
        <v>171</v>
      </c>
      <c r="E294" s="20" t="s">
        <v>97</v>
      </c>
      <c r="F294" s="21" t="s">
        <v>38</v>
      </c>
      <c r="G294" s="18" t="s">
        <v>32</v>
      </c>
      <c r="H294" s="18">
        <v>155.33000000000001</v>
      </c>
      <c r="I294" s="18">
        <v>232.71</v>
      </c>
      <c r="J294" s="18">
        <v>339</v>
      </c>
      <c r="K294" s="18">
        <v>52656.87</v>
      </c>
      <c r="L294" s="18">
        <v>78888.69</v>
      </c>
      <c r="M294" s="22">
        <v>26231.82</v>
      </c>
      <c r="N294" s="22">
        <v>49.82</v>
      </c>
      <c r="O294" s="23" t="s">
        <v>33</v>
      </c>
      <c r="P294" s="18">
        <v>0.31330000000000002</v>
      </c>
      <c r="Q294" s="18">
        <v>1.1200000000000001</v>
      </c>
    </row>
    <row r="295" spans="1:17" x14ac:dyDescent="0.35">
      <c r="A295" s="12" t="s">
        <v>616</v>
      </c>
      <c r="B295" s="12" t="s">
        <v>487</v>
      </c>
      <c r="C295" s="13" t="s">
        <v>178</v>
      </c>
      <c r="D295" s="12" t="s">
        <v>179</v>
      </c>
      <c r="E295" s="14" t="s">
        <v>22</v>
      </c>
      <c r="F295" s="15" t="s">
        <v>23</v>
      </c>
      <c r="G295" s="12" t="s">
        <v>39</v>
      </c>
      <c r="H295" s="12">
        <v>188.25</v>
      </c>
      <c r="I295" s="12">
        <v>186.75</v>
      </c>
      <c r="J295" s="12">
        <v>2380</v>
      </c>
      <c r="K295" s="12">
        <v>448035</v>
      </c>
      <c r="L295" s="12">
        <v>444465</v>
      </c>
      <c r="M295" s="16">
        <v>-3570</v>
      </c>
      <c r="N295" s="16">
        <v>-0.8</v>
      </c>
      <c r="O295" s="17" t="s">
        <v>25</v>
      </c>
      <c r="P295" s="12">
        <v>0.1469</v>
      </c>
      <c r="Q295" s="12">
        <v>0.72</v>
      </c>
    </row>
    <row r="296" spans="1:17" x14ac:dyDescent="0.35">
      <c r="A296" s="18" t="s">
        <v>617</v>
      </c>
      <c r="B296" s="18" t="s">
        <v>618</v>
      </c>
      <c r="C296" s="19" t="s">
        <v>36</v>
      </c>
      <c r="D296" s="18" t="s">
        <v>37</v>
      </c>
      <c r="E296" s="20" t="s">
        <v>30</v>
      </c>
      <c r="F296" s="21" t="s">
        <v>98</v>
      </c>
      <c r="G296" s="18" t="s">
        <v>65</v>
      </c>
      <c r="H296" s="18">
        <v>207.33</v>
      </c>
      <c r="I296" s="18">
        <v>220.53</v>
      </c>
      <c r="J296" s="18">
        <v>1714</v>
      </c>
      <c r="K296" s="18">
        <v>355363.62</v>
      </c>
      <c r="L296" s="18">
        <v>377988.42</v>
      </c>
      <c r="M296" s="22">
        <v>22624.799999999999</v>
      </c>
      <c r="N296" s="22">
        <v>6.37</v>
      </c>
      <c r="O296" s="22" t="s">
        <v>25</v>
      </c>
      <c r="P296" s="18">
        <v>0.4909</v>
      </c>
      <c r="Q296" s="18">
        <v>1.23</v>
      </c>
    </row>
    <row r="297" spans="1:17" x14ac:dyDescent="0.35">
      <c r="A297" s="12" t="s">
        <v>619</v>
      </c>
      <c r="B297" s="12" t="s">
        <v>620</v>
      </c>
      <c r="C297" s="13" t="s">
        <v>215</v>
      </c>
      <c r="D297" s="12" t="s">
        <v>216</v>
      </c>
      <c r="E297" s="14" t="s">
        <v>50</v>
      </c>
      <c r="F297" s="15" t="s">
        <v>62</v>
      </c>
      <c r="G297" s="12" t="s">
        <v>32</v>
      </c>
      <c r="H297" s="12">
        <v>164.18</v>
      </c>
      <c r="I297" s="12">
        <v>184.46</v>
      </c>
      <c r="J297" s="12">
        <v>3315</v>
      </c>
      <c r="K297" s="12">
        <v>544256.69999999995</v>
      </c>
      <c r="L297" s="12">
        <v>611484.9</v>
      </c>
      <c r="M297" s="17">
        <v>67228.2</v>
      </c>
      <c r="N297" s="17">
        <v>12.35</v>
      </c>
      <c r="O297" s="25" t="s">
        <v>45</v>
      </c>
      <c r="P297" s="12">
        <v>0.48359999999999997</v>
      </c>
      <c r="Q297" s="12">
        <v>1.34</v>
      </c>
    </row>
    <row r="298" spans="1:17" x14ac:dyDescent="0.35">
      <c r="A298" s="18" t="s">
        <v>621</v>
      </c>
      <c r="B298" s="18" t="s">
        <v>373</v>
      </c>
      <c r="C298" s="19" t="s">
        <v>137</v>
      </c>
      <c r="D298" s="18" t="s">
        <v>138</v>
      </c>
      <c r="E298" s="20" t="s">
        <v>50</v>
      </c>
      <c r="F298" s="21" t="s">
        <v>23</v>
      </c>
      <c r="G298" s="18" t="s">
        <v>32</v>
      </c>
      <c r="H298" s="18">
        <v>92.96</v>
      </c>
      <c r="I298" s="18">
        <v>101.68</v>
      </c>
      <c r="J298" s="18">
        <v>2665</v>
      </c>
      <c r="K298" s="18">
        <v>247738.4</v>
      </c>
      <c r="L298" s="18">
        <v>270977.2</v>
      </c>
      <c r="M298" s="22">
        <v>23238.799999999999</v>
      </c>
      <c r="N298" s="22">
        <v>9.3800000000000008</v>
      </c>
      <c r="O298" s="24" t="s">
        <v>45</v>
      </c>
      <c r="P298" s="18">
        <v>0.19869999999999999</v>
      </c>
      <c r="Q298" s="18">
        <v>1.43</v>
      </c>
    </row>
    <row r="299" spans="1:17" x14ac:dyDescent="0.35">
      <c r="A299" s="12" t="s">
        <v>622</v>
      </c>
      <c r="B299" s="12" t="s">
        <v>311</v>
      </c>
      <c r="C299" s="13" t="s">
        <v>72</v>
      </c>
      <c r="D299" s="12" t="s">
        <v>73</v>
      </c>
      <c r="E299" s="14" t="s">
        <v>74</v>
      </c>
      <c r="F299" s="15" t="s">
        <v>62</v>
      </c>
      <c r="G299" s="12" t="s">
        <v>32</v>
      </c>
      <c r="H299" s="12">
        <v>460.1</v>
      </c>
      <c r="I299" s="12">
        <v>541.14</v>
      </c>
      <c r="J299" s="12">
        <v>1229</v>
      </c>
      <c r="K299" s="12">
        <v>565462.9</v>
      </c>
      <c r="L299" s="12">
        <v>665061.06000000006</v>
      </c>
      <c r="M299" s="17">
        <v>99598.16</v>
      </c>
      <c r="N299" s="17">
        <v>17.61</v>
      </c>
      <c r="O299" s="25" t="s">
        <v>45</v>
      </c>
      <c r="P299" s="12">
        <v>0.32929999999999998</v>
      </c>
      <c r="Q299" s="12">
        <v>1.24</v>
      </c>
    </row>
    <row r="300" spans="1:17" x14ac:dyDescent="0.35">
      <c r="A300" s="18" t="s">
        <v>623</v>
      </c>
      <c r="B300" s="18" t="s">
        <v>624</v>
      </c>
      <c r="C300" s="19" t="s">
        <v>170</v>
      </c>
      <c r="D300" s="18" t="s">
        <v>171</v>
      </c>
      <c r="E300" s="20" t="s">
        <v>97</v>
      </c>
      <c r="F300" s="21" t="s">
        <v>38</v>
      </c>
      <c r="G300" s="18" t="s">
        <v>32</v>
      </c>
      <c r="H300" s="18">
        <v>129.35</v>
      </c>
      <c r="I300" s="18">
        <v>142.31</v>
      </c>
      <c r="J300" s="18">
        <v>2466</v>
      </c>
      <c r="K300" s="18">
        <v>318977.09999999998</v>
      </c>
      <c r="L300" s="18">
        <v>350936.46</v>
      </c>
      <c r="M300" s="22">
        <v>31959.360000000001</v>
      </c>
      <c r="N300" s="22">
        <v>10.02</v>
      </c>
      <c r="O300" s="24" t="s">
        <v>45</v>
      </c>
      <c r="P300" s="18">
        <v>0.31390000000000001</v>
      </c>
      <c r="Q300" s="18">
        <v>0.66</v>
      </c>
    </row>
    <row r="301" spans="1:17" x14ac:dyDescent="0.35">
      <c r="A301" s="12" t="s">
        <v>625</v>
      </c>
      <c r="B301" s="12" t="s">
        <v>130</v>
      </c>
      <c r="C301" s="13" t="s">
        <v>48</v>
      </c>
      <c r="D301" s="12" t="s">
        <v>49</v>
      </c>
      <c r="E301" s="14" t="s">
        <v>50</v>
      </c>
      <c r="F301" s="15" t="s">
        <v>23</v>
      </c>
      <c r="G301" s="12" t="s">
        <v>39</v>
      </c>
      <c r="H301" s="12">
        <v>71.150000000000006</v>
      </c>
      <c r="I301" s="12">
        <v>75.66</v>
      </c>
      <c r="J301" s="12">
        <v>1698</v>
      </c>
      <c r="K301" s="12">
        <v>120812.7</v>
      </c>
      <c r="L301" s="12">
        <v>128470.68</v>
      </c>
      <c r="M301" s="17">
        <v>7657.98</v>
      </c>
      <c r="N301" s="17">
        <v>6.34</v>
      </c>
      <c r="O301" s="17" t="s">
        <v>25</v>
      </c>
      <c r="P301" s="12">
        <v>0.33729999999999999</v>
      </c>
      <c r="Q301" s="12">
        <v>1.19</v>
      </c>
    </row>
    <row r="302" spans="1:17" x14ac:dyDescent="0.35">
      <c r="A302" s="18" t="s">
        <v>626</v>
      </c>
      <c r="B302" s="18" t="s">
        <v>627</v>
      </c>
      <c r="C302" s="19" t="s">
        <v>115</v>
      </c>
      <c r="D302" s="18" t="s">
        <v>116</v>
      </c>
      <c r="E302" s="20" t="s">
        <v>55</v>
      </c>
      <c r="F302" s="21" t="s">
        <v>38</v>
      </c>
      <c r="G302" s="18" t="s">
        <v>39</v>
      </c>
      <c r="H302" s="18">
        <v>682.34</v>
      </c>
      <c r="I302" s="18">
        <v>432.74</v>
      </c>
      <c r="J302" s="18">
        <v>1470</v>
      </c>
      <c r="K302" s="18">
        <v>1003039.8</v>
      </c>
      <c r="L302" s="18">
        <v>636127.80000000005</v>
      </c>
      <c r="M302" s="23">
        <v>-366912</v>
      </c>
      <c r="N302" s="23">
        <v>-36.58</v>
      </c>
      <c r="O302" s="23" t="s">
        <v>33</v>
      </c>
      <c r="P302" s="18">
        <v>0.44729999999999998</v>
      </c>
      <c r="Q302" s="18">
        <v>0.95</v>
      </c>
    </row>
    <row r="303" spans="1:17" x14ac:dyDescent="0.35">
      <c r="A303" s="12" t="s">
        <v>628</v>
      </c>
      <c r="B303" s="12" t="s">
        <v>629</v>
      </c>
      <c r="C303" s="13" t="s">
        <v>83</v>
      </c>
      <c r="D303" s="12" t="s">
        <v>84</v>
      </c>
      <c r="E303" s="14" t="s">
        <v>55</v>
      </c>
      <c r="F303" s="15" t="s">
        <v>23</v>
      </c>
      <c r="G303" s="12" t="s">
        <v>24</v>
      </c>
      <c r="H303" s="12">
        <v>387.48</v>
      </c>
      <c r="I303" s="12">
        <v>550.53</v>
      </c>
      <c r="J303" s="12">
        <v>3846</v>
      </c>
      <c r="K303" s="12">
        <v>1490248.08</v>
      </c>
      <c r="L303" s="12">
        <v>2117338.38</v>
      </c>
      <c r="M303" s="17">
        <v>627090.30000000005</v>
      </c>
      <c r="N303" s="17">
        <v>42.08</v>
      </c>
      <c r="O303" s="16" t="s">
        <v>33</v>
      </c>
      <c r="P303" s="12">
        <v>0.33300000000000002</v>
      </c>
      <c r="Q303" s="12">
        <v>1.21</v>
      </c>
    </row>
    <row r="304" spans="1:17" x14ac:dyDescent="0.35">
      <c r="A304" s="18" t="s">
        <v>630</v>
      </c>
      <c r="B304" s="18" t="s">
        <v>323</v>
      </c>
      <c r="C304" s="19" t="s">
        <v>28</v>
      </c>
      <c r="D304" s="18" t="s">
        <v>29</v>
      </c>
      <c r="E304" s="20" t="s">
        <v>30</v>
      </c>
      <c r="F304" s="21" t="s">
        <v>62</v>
      </c>
      <c r="G304" s="18" t="s">
        <v>24</v>
      </c>
      <c r="H304" s="18">
        <v>243.03</v>
      </c>
      <c r="I304" s="18">
        <v>342.61</v>
      </c>
      <c r="J304" s="18">
        <v>3105</v>
      </c>
      <c r="K304" s="18">
        <v>754608.15</v>
      </c>
      <c r="L304" s="18">
        <v>1063804.05</v>
      </c>
      <c r="M304" s="22">
        <v>309195.90000000002</v>
      </c>
      <c r="N304" s="22">
        <v>40.97</v>
      </c>
      <c r="O304" s="23" t="s">
        <v>33</v>
      </c>
      <c r="P304" s="18">
        <v>0.44679999999999997</v>
      </c>
      <c r="Q304" s="18">
        <v>1.1299999999999999</v>
      </c>
    </row>
    <row r="305" spans="1:17" x14ac:dyDescent="0.35">
      <c r="A305" s="12" t="s">
        <v>631</v>
      </c>
      <c r="B305" s="12" t="s">
        <v>632</v>
      </c>
      <c r="C305" s="13" t="s">
        <v>95</v>
      </c>
      <c r="D305" s="12" t="s">
        <v>96</v>
      </c>
      <c r="E305" s="14" t="s">
        <v>97</v>
      </c>
      <c r="F305" s="15" t="s">
        <v>23</v>
      </c>
      <c r="G305" s="12" t="s">
        <v>32</v>
      </c>
      <c r="H305" s="12">
        <v>244.74</v>
      </c>
      <c r="I305" s="12">
        <v>220.89</v>
      </c>
      <c r="J305" s="12">
        <v>2538</v>
      </c>
      <c r="K305" s="12">
        <v>621150.12</v>
      </c>
      <c r="L305" s="12">
        <v>560618.81999999995</v>
      </c>
      <c r="M305" s="16">
        <v>-60531.3</v>
      </c>
      <c r="N305" s="16">
        <v>-9.75</v>
      </c>
      <c r="O305" s="25" t="s">
        <v>45</v>
      </c>
      <c r="P305" s="12">
        <v>0.23300000000000001</v>
      </c>
      <c r="Q305" s="12">
        <v>1.63</v>
      </c>
    </row>
    <row r="306" spans="1:17" x14ac:dyDescent="0.35">
      <c r="A306" s="18" t="s">
        <v>633</v>
      </c>
      <c r="B306" s="18" t="s">
        <v>634</v>
      </c>
      <c r="C306" s="19" t="s">
        <v>60</v>
      </c>
      <c r="D306" s="18" t="s">
        <v>61</v>
      </c>
      <c r="E306" s="20" t="s">
        <v>22</v>
      </c>
      <c r="F306" s="21" t="s">
        <v>23</v>
      </c>
      <c r="G306" s="18" t="s">
        <v>32</v>
      </c>
      <c r="H306" s="18">
        <v>153.05000000000001</v>
      </c>
      <c r="I306" s="18">
        <v>197.67</v>
      </c>
      <c r="J306" s="18">
        <v>1819</v>
      </c>
      <c r="K306" s="18">
        <v>278397.95</v>
      </c>
      <c r="L306" s="18">
        <v>359561.73</v>
      </c>
      <c r="M306" s="22">
        <v>81163.78</v>
      </c>
      <c r="N306" s="22">
        <v>29.15</v>
      </c>
      <c r="O306" s="23" t="s">
        <v>33</v>
      </c>
      <c r="P306" s="18">
        <v>0.27079999999999999</v>
      </c>
      <c r="Q306" s="18">
        <v>1.45</v>
      </c>
    </row>
    <row r="307" spans="1:17" x14ac:dyDescent="0.35">
      <c r="A307" s="12" t="s">
        <v>635</v>
      </c>
      <c r="B307" s="12" t="s">
        <v>194</v>
      </c>
      <c r="C307" s="13" t="s">
        <v>42</v>
      </c>
      <c r="D307" s="12" t="s">
        <v>43</v>
      </c>
      <c r="E307" s="14" t="s">
        <v>44</v>
      </c>
      <c r="F307" s="15" t="s">
        <v>23</v>
      </c>
      <c r="G307" s="12" t="s">
        <v>32</v>
      </c>
      <c r="H307" s="12">
        <v>600.4</v>
      </c>
      <c r="I307" s="12">
        <v>767.94</v>
      </c>
      <c r="J307" s="12">
        <v>1795</v>
      </c>
      <c r="K307" s="12">
        <v>1077718</v>
      </c>
      <c r="L307" s="12">
        <v>1378452.3</v>
      </c>
      <c r="M307" s="17">
        <v>300734.3</v>
      </c>
      <c r="N307" s="17">
        <v>27.9</v>
      </c>
      <c r="O307" s="16" t="s">
        <v>33</v>
      </c>
      <c r="P307" s="12">
        <v>0.34889999999999999</v>
      </c>
      <c r="Q307" s="12">
        <v>1.32</v>
      </c>
    </row>
    <row r="308" spans="1:17" x14ac:dyDescent="0.35">
      <c r="A308" s="18" t="s">
        <v>636</v>
      </c>
      <c r="B308" s="18" t="s">
        <v>637</v>
      </c>
      <c r="C308" s="19" t="s">
        <v>170</v>
      </c>
      <c r="D308" s="18" t="s">
        <v>171</v>
      </c>
      <c r="E308" s="20" t="s">
        <v>97</v>
      </c>
      <c r="F308" s="21" t="s">
        <v>98</v>
      </c>
      <c r="G308" s="18" t="s">
        <v>24</v>
      </c>
      <c r="H308" s="18">
        <v>134.88</v>
      </c>
      <c r="I308" s="18">
        <v>199.7</v>
      </c>
      <c r="J308" s="18">
        <v>4791</v>
      </c>
      <c r="K308" s="18">
        <v>646210.07999999996</v>
      </c>
      <c r="L308" s="18">
        <v>956762.7</v>
      </c>
      <c r="M308" s="22">
        <v>310552.62</v>
      </c>
      <c r="N308" s="22">
        <v>48.06</v>
      </c>
      <c r="O308" s="23" t="s">
        <v>33</v>
      </c>
      <c r="P308" s="18">
        <v>0.54379999999999995</v>
      </c>
      <c r="Q308" s="18">
        <v>1.42</v>
      </c>
    </row>
    <row r="309" spans="1:17" x14ac:dyDescent="0.35">
      <c r="A309" s="12" t="s">
        <v>638</v>
      </c>
      <c r="B309" s="12" t="s">
        <v>196</v>
      </c>
      <c r="C309" s="13" t="s">
        <v>20</v>
      </c>
      <c r="D309" s="12" t="s">
        <v>21</v>
      </c>
      <c r="E309" s="14" t="s">
        <v>22</v>
      </c>
      <c r="F309" s="15" t="s">
        <v>31</v>
      </c>
      <c r="G309" s="12" t="s">
        <v>32</v>
      </c>
      <c r="H309" s="12">
        <v>666.07</v>
      </c>
      <c r="I309" s="12">
        <v>645.29999999999995</v>
      </c>
      <c r="J309" s="12">
        <v>2371</v>
      </c>
      <c r="K309" s="12">
        <v>1579251.97</v>
      </c>
      <c r="L309" s="12">
        <v>1530006.3</v>
      </c>
      <c r="M309" s="16">
        <v>-49245.67</v>
      </c>
      <c r="N309" s="16">
        <v>-3.12</v>
      </c>
      <c r="O309" s="17" t="s">
        <v>25</v>
      </c>
      <c r="P309" s="12">
        <v>0.4924</v>
      </c>
      <c r="Q309" s="12">
        <v>0.9</v>
      </c>
    </row>
    <row r="310" spans="1:17" x14ac:dyDescent="0.35">
      <c r="A310" s="18" t="s">
        <v>639</v>
      </c>
      <c r="B310" s="18" t="s">
        <v>100</v>
      </c>
      <c r="C310" s="19" t="s">
        <v>215</v>
      </c>
      <c r="D310" s="18" t="s">
        <v>216</v>
      </c>
      <c r="E310" s="20" t="s">
        <v>50</v>
      </c>
      <c r="F310" s="21" t="s">
        <v>38</v>
      </c>
      <c r="G310" s="18" t="s">
        <v>32</v>
      </c>
      <c r="H310" s="18">
        <v>163.72</v>
      </c>
      <c r="I310" s="18">
        <v>174.87</v>
      </c>
      <c r="J310" s="18">
        <v>1264</v>
      </c>
      <c r="K310" s="18">
        <v>206942.07999999999</v>
      </c>
      <c r="L310" s="18">
        <v>221035.68</v>
      </c>
      <c r="M310" s="22">
        <v>14093.6</v>
      </c>
      <c r="N310" s="22">
        <v>6.81</v>
      </c>
      <c r="O310" s="22" t="s">
        <v>25</v>
      </c>
      <c r="P310" s="18">
        <v>0.29809999999999998</v>
      </c>
      <c r="Q310" s="18">
        <v>1.1399999999999999</v>
      </c>
    </row>
    <row r="311" spans="1:17" x14ac:dyDescent="0.35">
      <c r="A311" s="12" t="s">
        <v>640</v>
      </c>
      <c r="B311" s="12" t="s">
        <v>641</v>
      </c>
      <c r="C311" s="13" t="s">
        <v>60</v>
      </c>
      <c r="D311" s="12" t="s">
        <v>61</v>
      </c>
      <c r="E311" s="14" t="s">
        <v>22</v>
      </c>
      <c r="F311" s="15" t="s">
        <v>98</v>
      </c>
      <c r="G311" s="12" t="s">
        <v>24</v>
      </c>
      <c r="H311" s="12">
        <v>158.91</v>
      </c>
      <c r="I311" s="12">
        <v>176.25</v>
      </c>
      <c r="J311" s="12">
        <v>3824</v>
      </c>
      <c r="K311" s="12">
        <v>607671.84</v>
      </c>
      <c r="L311" s="12">
        <v>673980</v>
      </c>
      <c r="M311" s="17">
        <v>66308.160000000003</v>
      </c>
      <c r="N311" s="17">
        <v>10.91</v>
      </c>
      <c r="O311" s="25" t="s">
        <v>45</v>
      </c>
      <c r="P311" s="12">
        <v>0.1211</v>
      </c>
      <c r="Q311" s="12">
        <v>1.53</v>
      </c>
    </row>
    <row r="312" spans="1:17" x14ac:dyDescent="0.35">
      <c r="A312" s="18" t="s">
        <v>642</v>
      </c>
      <c r="B312" s="18" t="s">
        <v>643</v>
      </c>
      <c r="C312" s="19" t="s">
        <v>60</v>
      </c>
      <c r="D312" s="18" t="s">
        <v>61</v>
      </c>
      <c r="E312" s="20" t="s">
        <v>22</v>
      </c>
      <c r="F312" s="21" t="s">
        <v>31</v>
      </c>
      <c r="G312" s="18" t="s">
        <v>65</v>
      </c>
      <c r="H312" s="18">
        <v>135.69999999999999</v>
      </c>
      <c r="I312" s="18">
        <v>211.38</v>
      </c>
      <c r="J312" s="18">
        <v>4478</v>
      </c>
      <c r="K312" s="18">
        <v>607664.6</v>
      </c>
      <c r="L312" s="18">
        <v>946559.64</v>
      </c>
      <c r="M312" s="22">
        <v>338895.04</v>
      </c>
      <c r="N312" s="22">
        <v>55.77</v>
      </c>
      <c r="O312" s="23" t="s">
        <v>33</v>
      </c>
      <c r="P312" s="18">
        <v>0.47470000000000001</v>
      </c>
      <c r="Q312" s="18">
        <v>1.19</v>
      </c>
    </row>
    <row r="313" spans="1:17" x14ac:dyDescent="0.35">
      <c r="A313" s="12" t="s">
        <v>644</v>
      </c>
      <c r="B313" s="12" t="s">
        <v>446</v>
      </c>
      <c r="C313" s="13" t="s">
        <v>215</v>
      </c>
      <c r="D313" s="12" t="s">
        <v>216</v>
      </c>
      <c r="E313" s="14" t="s">
        <v>50</v>
      </c>
      <c r="F313" s="15" t="s">
        <v>62</v>
      </c>
      <c r="G313" s="12" t="s">
        <v>65</v>
      </c>
      <c r="H313" s="12">
        <v>142.27000000000001</v>
      </c>
      <c r="I313" s="12">
        <v>210.09</v>
      </c>
      <c r="J313" s="12">
        <v>4834</v>
      </c>
      <c r="K313" s="12">
        <v>687733.18</v>
      </c>
      <c r="L313" s="12">
        <v>1015575.06</v>
      </c>
      <c r="M313" s="17">
        <v>327841.88</v>
      </c>
      <c r="N313" s="17">
        <v>47.67</v>
      </c>
      <c r="O313" s="16" t="s">
        <v>33</v>
      </c>
      <c r="P313" s="12">
        <v>0.45900000000000002</v>
      </c>
      <c r="Q313" s="12">
        <v>1.67</v>
      </c>
    </row>
    <row r="314" spans="1:17" x14ac:dyDescent="0.35">
      <c r="A314" s="18" t="s">
        <v>645</v>
      </c>
      <c r="B314" s="18" t="s">
        <v>646</v>
      </c>
      <c r="C314" s="19" t="s">
        <v>103</v>
      </c>
      <c r="D314" s="18" t="s">
        <v>104</v>
      </c>
      <c r="E314" s="20" t="s">
        <v>22</v>
      </c>
      <c r="F314" s="21" t="s">
        <v>38</v>
      </c>
      <c r="G314" s="18" t="s">
        <v>32</v>
      </c>
      <c r="H314" s="18">
        <v>283.93</v>
      </c>
      <c r="I314" s="18">
        <v>420.32</v>
      </c>
      <c r="J314" s="18">
        <v>233</v>
      </c>
      <c r="K314" s="18">
        <v>66155.69</v>
      </c>
      <c r="L314" s="18">
        <v>97934.56</v>
      </c>
      <c r="M314" s="22">
        <v>31778.87</v>
      </c>
      <c r="N314" s="22">
        <v>48.04</v>
      </c>
      <c r="O314" s="23" t="s">
        <v>33</v>
      </c>
      <c r="P314" s="18">
        <v>0.30980000000000002</v>
      </c>
      <c r="Q314" s="18">
        <v>0.6</v>
      </c>
    </row>
    <row r="315" spans="1:17" x14ac:dyDescent="0.35">
      <c r="A315" s="12" t="s">
        <v>647</v>
      </c>
      <c r="B315" s="12" t="s">
        <v>648</v>
      </c>
      <c r="C315" s="13" t="s">
        <v>42</v>
      </c>
      <c r="D315" s="12" t="s">
        <v>43</v>
      </c>
      <c r="E315" s="14" t="s">
        <v>44</v>
      </c>
      <c r="F315" s="15" t="s">
        <v>98</v>
      </c>
      <c r="G315" s="12" t="s">
        <v>32</v>
      </c>
      <c r="H315" s="12">
        <v>611.78</v>
      </c>
      <c r="I315" s="12">
        <v>913.76</v>
      </c>
      <c r="J315" s="12">
        <v>1402</v>
      </c>
      <c r="K315" s="12">
        <v>857715.56</v>
      </c>
      <c r="L315" s="12">
        <v>1281091.52</v>
      </c>
      <c r="M315" s="17">
        <v>423375.96</v>
      </c>
      <c r="N315" s="17">
        <v>49.36</v>
      </c>
      <c r="O315" s="16" t="s">
        <v>33</v>
      </c>
      <c r="P315" s="12">
        <v>0.16009999999999999</v>
      </c>
      <c r="Q315" s="12">
        <v>1.03</v>
      </c>
    </row>
    <row r="316" spans="1:17" x14ac:dyDescent="0.35">
      <c r="A316" s="18" t="s">
        <v>649</v>
      </c>
      <c r="B316" s="18" t="s">
        <v>650</v>
      </c>
      <c r="C316" s="19" t="s">
        <v>60</v>
      </c>
      <c r="D316" s="18" t="s">
        <v>61</v>
      </c>
      <c r="E316" s="20" t="s">
        <v>22</v>
      </c>
      <c r="F316" s="21" t="s">
        <v>31</v>
      </c>
      <c r="G316" s="18" t="s">
        <v>32</v>
      </c>
      <c r="H316" s="18">
        <v>145.28</v>
      </c>
      <c r="I316" s="18">
        <v>201.68</v>
      </c>
      <c r="J316" s="18">
        <v>3346</v>
      </c>
      <c r="K316" s="18">
        <v>486106.88</v>
      </c>
      <c r="L316" s="18">
        <v>674821.28</v>
      </c>
      <c r="M316" s="22">
        <v>188714.4</v>
      </c>
      <c r="N316" s="22">
        <v>38.82</v>
      </c>
      <c r="O316" s="23" t="s">
        <v>33</v>
      </c>
      <c r="P316" s="18">
        <v>0.44469999999999998</v>
      </c>
      <c r="Q316" s="18">
        <v>1.1200000000000001</v>
      </c>
    </row>
    <row r="317" spans="1:17" x14ac:dyDescent="0.35">
      <c r="A317" s="12" t="s">
        <v>651</v>
      </c>
      <c r="B317" s="12" t="s">
        <v>356</v>
      </c>
      <c r="C317" s="13" t="s">
        <v>60</v>
      </c>
      <c r="D317" s="12" t="s">
        <v>61</v>
      </c>
      <c r="E317" s="14" t="s">
        <v>22</v>
      </c>
      <c r="F317" s="15" t="s">
        <v>31</v>
      </c>
      <c r="G317" s="12" t="s">
        <v>32</v>
      </c>
      <c r="H317" s="12">
        <v>139.03</v>
      </c>
      <c r="I317" s="12">
        <v>135.26</v>
      </c>
      <c r="J317" s="12">
        <v>1848</v>
      </c>
      <c r="K317" s="12">
        <v>256927.44</v>
      </c>
      <c r="L317" s="12">
        <v>249960.48</v>
      </c>
      <c r="M317" s="16">
        <v>-6966.96</v>
      </c>
      <c r="N317" s="16">
        <v>-2.71</v>
      </c>
      <c r="O317" s="17" t="s">
        <v>25</v>
      </c>
      <c r="P317" s="12">
        <v>0.21729999999999999</v>
      </c>
      <c r="Q317" s="12">
        <v>1.42</v>
      </c>
    </row>
    <row r="318" spans="1:17" x14ac:dyDescent="0.35">
      <c r="A318" s="18" t="s">
        <v>652</v>
      </c>
      <c r="B318" s="18" t="s">
        <v>134</v>
      </c>
      <c r="C318" s="19" t="s">
        <v>178</v>
      </c>
      <c r="D318" s="18" t="s">
        <v>179</v>
      </c>
      <c r="E318" s="20" t="s">
        <v>22</v>
      </c>
      <c r="F318" s="21" t="s">
        <v>31</v>
      </c>
      <c r="G318" s="18" t="s">
        <v>65</v>
      </c>
      <c r="H318" s="18">
        <v>185.19</v>
      </c>
      <c r="I318" s="18">
        <v>224.89</v>
      </c>
      <c r="J318" s="18">
        <v>3559</v>
      </c>
      <c r="K318" s="18">
        <v>659091.21</v>
      </c>
      <c r="L318" s="18">
        <v>800383.51</v>
      </c>
      <c r="M318" s="22">
        <v>141292.29999999999</v>
      </c>
      <c r="N318" s="22">
        <v>21.44</v>
      </c>
      <c r="O318" s="24" t="s">
        <v>45</v>
      </c>
      <c r="P318" s="18">
        <v>0.21840000000000001</v>
      </c>
      <c r="Q318" s="18">
        <v>0.71</v>
      </c>
    </row>
    <row r="319" spans="1:17" x14ac:dyDescent="0.35">
      <c r="A319" s="12" t="s">
        <v>653</v>
      </c>
      <c r="B319" s="12" t="s">
        <v>654</v>
      </c>
      <c r="C319" s="13" t="s">
        <v>20</v>
      </c>
      <c r="D319" s="12" t="s">
        <v>21</v>
      </c>
      <c r="E319" s="14" t="s">
        <v>22</v>
      </c>
      <c r="F319" s="15" t="s">
        <v>98</v>
      </c>
      <c r="G319" s="12" t="s">
        <v>65</v>
      </c>
      <c r="H319" s="12">
        <v>534.67999999999995</v>
      </c>
      <c r="I319" s="12">
        <v>760.01</v>
      </c>
      <c r="J319" s="12">
        <v>2551</v>
      </c>
      <c r="K319" s="12">
        <v>1363968.68</v>
      </c>
      <c r="L319" s="12">
        <v>1938785.51</v>
      </c>
      <c r="M319" s="17">
        <v>574816.82999999996</v>
      </c>
      <c r="N319" s="17">
        <v>42.14</v>
      </c>
      <c r="O319" s="16" t="s">
        <v>33</v>
      </c>
      <c r="P319" s="12">
        <v>0.44390000000000002</v>
      </c>
      <c r="Q319" s="12">
        <v>0.76</v>
      </c>
    </row>
    <row r="320" spans="1:17" x14ac:dyDescent="0.35">
      <c r="A320" s="18" t="s">
        <v>655</v>
      </c>
      <c r="B320" s="18" t="s">
        <v>132</v>
      </c>
      <c r="C320" s="19" t="s">
        <v>87</v>
      </c>
      <c r="D320" s="18" t="s">
        <v>88</v>
      </c>
      <c r="E320" s="20" t="s">
        <v>22</v>
      </c>
      <c r="F320" s="21" t="s">
        <v>62</v>
      </c>
      <c r="G320" s="18" t="s">
        <v>32</v>
      </c>
      <c r="H320" s="18">
        <v>343.71</v>
      </c>
      <c r="I320" s="18">
        <v>476.28</v>
      </c>
      <c r="J320" s="18">
        <v>1444</v>
      </c>
      <c r="K320" s="18">
        <v>496317.24</v>
      </c>
      <c r="L320" s="18">
        <v>687748.32</v>
      </c>
      <c r="M320" s="22">
        <v>191431.08</v>
      </c>
      <c r="N320" s="22">
        <v>38.57</v>
      </c>
      <c r="O320" s="23" t="s">
        <v>33</v>
      </c>
      <c r="P320" s="18">
        <v>0.3901</v>
      </c>
      <c r="Q320" s="18">
        <v>0.78</v>
      </c>
    </row>
    <row r="321" spans="1:17" x14ac:dyDescent="0.35">
      <c r="A321" s="12" t="s">
        <v>656</v>
      </c>
      <c r="B321" s="12" t="s">
        <v>657</v>
      </c>
      <c r="C321" s="13" t="s">
        <v>42</v>
      </c>
      <c r="D321" s="12" t="s">
        <v>43</v>
      </c>
      <c r="E321" s="14" t="s">
        <v>44</v>
      </c>
      <c r="F321" s="15" t="s">
        <v>23</v>
      </c>
      <c r="G321" s="12" t="s">
        <v>39</v>
      </c>
      <c r="H321" s="12">
        <v>615.44000000000005</v>
      </c>
      <c r="I321" s="12">
        <v>421.21</v>
      </c>
      <c r="J321" s="12">
        <v>810</v>
      </c>
      <c r="K321" s="12">
        <v>498506.4</v>
      </c>
      <c r="L321" s="12">
        <v>341180.1</v>
      </c>
      <c r="M321" s="16">
        <v>-157326.29999999999</v>
      </c>
      <c r="N321" s="16">
        <v>-31.56</v>
      </c>
      <c r="O321" s="16" t="s">
        <v>33</v>
      </c>
      <c r="P321" s="12">
        <v>0.17299999999999999</v>
      </c>
      <c r="Q321" s="12">
        <v>1.48</v>
      </c>
    </row>
    <row r="322" spans="1:17" x14ac:dyDescent="0.35">
      <c r="A322" s="18" t="s">
        <v>658</v>
      </c>
      <c r="B322" s="18" t="s">
        <v>659</v>
      </c>
      <c r="C322" s="19" t="s">
        <v>48</v>
      </c>
      <c r="D322" s="18" t="s">
        <v>49</v>
      </c>
      <c r="E322" s="20" t="s">
        <v>50</v>
      </c>
      <c r="F322" s="21" t="s">
        <v>23</v>
      </c>
      <c r="G322" s="18" t="s">
        <v>65</v>
      </c>
      <c r="H322" s="18">
        <v>60.65</v>
      </c>
      <c r="I322" s="18">
        <v>56.95</v>
      </c>
      <c r="J322" s="18">
        <v>2129</v>
      </c>
      <c r="K322" s="18">
        <v>129123.85</v>
      </c>
      <c r="L322" s="18">
        <v>121246.55</v>
      </c>
      <c r="M322" s="23">
        <v>-7877.3</v>
      </c>
      <c r="N322" s="23">
        <v>-6.1</v>
      </c>
      <c r="O322" s="22" t="s">
        <v>25</v>
      </c>
      <c r="P322" s="18">
        <v>0.35799999999999998</v>
      </c>
      <c r="Q322" s="18">
        <v>1.32</v>
      </c>
    </row>
    <row r="323" spans="1:17" x14ac:dyDescent="0.35">
      <c r="A323" s="12" t="s">
        <v>660</v>
      </c>
      <c r="B323" s="12" t="s">
        <v>501</v>
      </c>
      <c r="C323" s="13" t="s">
        <v>53</v>
      </c>
      <c r="D323" s="12" t="s">
        <v>54</v>
      </c>
      <c r="E323" s="14" t="s">
        <v>55</v>
      </c>
      <c r="F323" s="15" t="s">
        <v>98</v>
      </c>
      <c r="G323" s="12" t="s">
        <v>32</v>
      </c>
      <c r="H323" s="12">
        <v>90.48</v>
      </c>
      <c r="I323" s="12">
        <v>111.89</v>
      </c>
      <c r="J323" s="12">
        <v>1783</v>
      </c>
      <c r="K323" s="12">
        <v>161325.84</v>
      </c>
      <c r="L323" s="12">
        <v>199499.87</v>
      </c>
      <c r="M323" s="17">
        <v>38174.03</v>
      </c>
      <c r="N323" s="17">
        <v>23.66</v>
      </c>
      <c r="O323" s="16" t="s">
        <v>33</v>
      </c>
      <c r="P323" s="12">
        <v>0.44159999999999999</v>
      </c>
      <c r="Q323" s="12">
        <v>0.95</v>
      </c>
    </row>
    <row r="324" spans="1:17" x14ac:dyDescent="0.35">
      <c r="A324" s="18" t="s">
        <v>661</v>
      </c>
      <c r="B324" s="18" t="s">
        <v>242</v>
      </c>
      <c r="C324" s="19" t="s">
        <v>103</v>
      </c>
      <c r="D324" s="18" t="s">
        <v>104</v>
      </c>
      <c r="E324" s="20" t="s">
        <v>22</v>
      </c>
      <c r="F324" s="21" t="s">
        <v>38</v>
      </c>
      <c r="G324" s="18" t="s">
        <v>39</v>
      </c>
      <c r="H324" s="18">
        <v>295.14</v>
      </c>
      <c r="I324" s="18">
        <v>269.62</v>
      </c>
      <c r="J324" s="18">
        <v>1023</v>
      </c>
      <c r="K324" s="18">
        <v>301928.21999999997</v>
      </c>
      <c r="L324" s="18">
        <v>275821.26</v>
      </c>
      <c r="M324" s="23">
        <v>-26106.959999999999</v>
      </c>
      <c r="N324" s="23">
        <v>-8.65</v>
      </c>
      <c r="O324" s="24" t="s">
        <v>45</v>
      </c>
      <c r="P324" s="18">
        <v>0.15049999999999999</v>
      </c>
      <c r="Q324" s="18">
        <v>1.67</v>
      </c>
    </row>
    <row r="325" spans="1:17" x14ac:dyDescent="0.35">
      <c r="A325" s="12" t="s">
        <v>662</v>
      </c>
      <c r="B325" s="12" t="s">
        <v>663</v>
      </c>
      <c r="C325" s="13" t="s">
        <v>178</v>
      </c>
      <c r="D325" s="12" t="s">
        <v>179</v>
      </c>
      <c r="E325" s="14" t="s">
        <v>22</v>
      </c>
      <c r="F325" s="15" t="s">
        <v>23</v>
      </c>
      <c r="G325" s="12" t="s">
        <v>65</v>
      </c>
      <c r="H325" s="12">
        <v>193.94</v>
      </c>
      <c r="I325" s="12">
        <v>247.83</v>
      </c>
      <c r="J325" s="12">
        <v>3268</v>
      </c>
      <c r="K325" s="12">
        <v>633795.92000000004</v>
      </c>
      <c r="L325" s="12">
        <v>809908.44</v>
      </c>
      <c r="M325" s="17">
        <v>176112.52</v>
      </c>
      <c r="N325" s="17">
        <v>27.79</v>
      </c>
      <c r="O325" s="16" t="s">
        <v>33</v>
      </c>
      <c r="P325" s="12">
        <v>0.27710000000000001</v>
      </c>
      <c r="Q325" s="12">
        <v>1.42</v>
      </c>
    </row>
    <row r="326" spans="1:17" x14ac:dyDescent="0.35">
      <c r="A326" s="18" t="s">
        <v>664</v>
      </c>
      <c r="B326" s="18" t="s">
        <v>665</v>
      </c>
      <c r="C326" s="19" t="s">
        <v>115</v>
      </c>
      <c r="D326" s="18" t="s">
        <v>116</v>
      </c>
      <c r="E326" s="20" t="s">
        <v>55</v>
      </c>
      <c r="F326" s="21" t="s">
        <v>62</v>
      </c>
      <c r="G326" s="18" t="s">
        <v>32</v>
      </c>
      <c r="H326" s="18">
        <v>666.23</v>
      </c>
      <c r="I326" s="18">
        <v>686.9</v>
      </c>
      <c r="J326" s="18">
        <v>653</v>
      </c>
      <c r="K326" s="18">
        <v>435048.19</v>
      </c>
      <c r="L326" s="18">
        <v>448545.7</v>
      </c>
      <c r="M326" s="22">
        <v>13497.51</v>
      </c>
      <c r="N326" s="22">
        <v>3.1</v>
      </c>
      <c r="O326" s="22" t="s">
        <v>25</v>
      </c>
      <c r="P326" s="18">
        <v>0.51670000000000005</v>
      </c>
      <c r="Q326" s="18">
        <v>1.74</v>
      </c>
    </row>
    <row r="327" spans="1:17" x14ac:dyDescent="0.35">
      <c r="A327" s="12" t="s">
        <v>666</v>
      </c>
      <c r="B327" s="12" t="s">
        <v>667</v>
      </c>
      <c r="C327" s="13" t="s">
        <v>77</v>
      </c>
      <c r="D327" s="12" t="s">
        <v>78</v>
      </c>
      <c r="E327" s="14" t="s">
        <v>44</v>
      </c>
      <c r="F327" s="15" t="s">
        <v>62</v>
      </c>
      <c r="G327" s="12" t="s">
        <v>24</v>
      </c>
      <c r="H327" s="12">
        <v>161.22</v>
      </c>
      <c r="I327" s="12">
        <v>187.27</v>
      </c>
      <c r="J327" s="12">
        <v>3503</v>
      </c>
      <c r="K327" s="12">
        <v>564753.66</v>
      </c>
      <c r="L327" s="12">
        <v>656006.81000000006</v>
      </c>
      <c r="M327" s="17">
        <v>91253.15</v>
      </c>
      <c r="N327" s="17">
        <v>16.16</v>
      </c>
      <c r="O327" s="25" t="s">
        <v>45</v>
      </c>
      <c r="P327" s="12">
        <v>0.39539999999999997</v>
      </c>
      <c r="Q327" s="12">
        <v>1.25</v>
      </c>
    </row>
    <row r="328" spans="1:17" x14ac:dyDescent="0.35">
      <c r="A328" s="18" t="s">
        <v>668</v>
      </c>
      <c r="B328" s="18" t="s">
        <v>198</v>
      </c>
      <c r="C328" s="19" t="s">
        <v>87</v>
      </c>
      <c r="D328" s="18" t="s">
        <v>88</v>
      </c>
      <c r="E328" s="20" t="s">
        <v>22</v>
      </c>
      <c r="F328" s="21" t="s">
        <v>98</v>
      </c>
      <c r="G328" s="18" t="s">
        <v>32</v>
      </c>
      <c r="H328" s="18">
        <v>351.19</v>
      </c>
      <c r="I328" s="18">
        <v>359</v>
      </c>
      <c r="J328" s="18">
        <v>747</v>
      </c>
      <c r="K328" s="18">
        <v>262338.93</v>
      </c>
      <c r="L328" s="18">
        <v>268173</v>
      </c>
      <c r="M328" s="22">
        <v>5834.07</v>
      </c>
      <c r="N328" s="22">
        <v>2.2200000000000002</v>
      </c>
      <c r="O328" s="22" t="s">
        <v>25</v>
      </c>
      <c r="P328" s="18">
        <v>0.46750000000000003</v>
      </c>
      <c r="Q328" s="18">
        <v>1.24</v>
      </c>
    </row>
    <row r="329" spans="1:17" x14ac:dyDescent="0.35">
      <c r="A329" s="12" t="s">
        <v>669</v>
      </c>
      <c r="B329" s="12" t="s">
        <v>670</v>
      </c>
      <c r="C329" s="13" t="s">
        <v>77</v>
      </c>
      <c r="D329" s="12" t="s">
        <v>78</v>
      </c>
      <c r="E329" s="14" t="s">
        <v>44</v>
      </c>
      <c r="F329" s="15" t="s">
        <v>98</v>
      </c>
      <c r="G329" s="12" t="s">
        <v>32</v>
      </c>
      <c r="H329" s="12">
        <v>176.38</v>
      </c>
      <c r="I329" s="12">
        <v>259.72000000000003</v>
      </c>
      <c r="J329" s="12">
        <v>3683</v>
      </c>
      <c r="K329" s="12">
        <v>649607.54</v>
      </c>
      <c r="L329" s="12">
        <v>956548.76</v>
      </c>
      <c r="M329" s="17">
        <v>306941.21999999997</v>
      </c>
      <c r="N329" s="17">
        <v>47.25</v>
      </c>
      <c r="O329" s="16" t="s">
        <v>33</v>
      </c>
      <c r="P329" s="12">
        <v>0.1449</v>
      </c>
      <c r="Q329" s="12">
        <v>0.7</v>
      </c>
    </row>
    <row r="330" spans="1:17" x14ac:dyDescent="0.35">
      <c r="A330" s="18" t="s">
        <v>671</v>
      </c>
      <c r="B330" s="18" t="s">
        <v>672</v>
      </c>
      <c r="C330" s="19" t="s">
        <v>42</v>
      </c>
      <c r="D330" s="18" t="s">
        <v>43</v>
      </c>
      <c r="E330" s="20" t="s">
        <v>44</v>
      </c>
      <c r="F330" s="21" t="s">
        <v>62</v>
      </c>
      <c r="G330" s="18" t="s">
        <v>39</v>
      </c>
      <c r="H330" s="18">
        <v>518.53</v>
      </c>
      <c r="I330" s="18">
        <v>498.4</v>
      </c>
      <c r="J330" s="18">
        <v>550</v>
      </c>
      <c r="K330" s="18">
        <v>285191.5</v>
      </c>
      <c r="L330" s="18">
        <v>274120</v>
      </c>
      <c r="M330" s="23">
        <v>-11071.5</v>
      </c>
      <c r="N330" s="23">
        <v>-3.88</v>
      </c>
      <c r="O330" s="22" t="s">
        <v>25</v>
      </c>
      <c r="P330" s="18">
        <v>0.4385</v>
      </c>
      <c r="Q330" s="18">
        <v>0.74</v>
      </c>
    </row>
    <row r="331" spans="1:17" x14ac:dyDescent="0.35">
      <c r="A331" s="12" t="s">
        <v>673</v>
      </c>
      <c r="B331" s="12" t="s">
        <v>674</v>
      </c>
      <c r="C331" s="13" t="s">
        <v>87</v>
      </c>
      <c r="D331" s="12" t="s">
        <v>88</v>
      </c>
      <c r="E331" s="14" t="s">
        <v>22</v>
      </c>
      <c r="F331" s="15" t="s">
        <v>23</v>
      </c>
      <c r="G331" s="12" t="s">
        <v>32</v>
      </c>
      <c r="H331" s="12">
        <v>397.57</v>
      </c>
      <c r="I331" s="12">
        <v>495.41</v>
      </c>
      <c r="J331" s="12">
        <v>4166</v>
      </c>
      <c r="K331" s="12">
        <v>1656276.62</v>
      </c>
      <c r="L331" s="12">
        <v>2063878.06</v>
      </c>
      <c r="M331" s="17">
        <v>407601.44</v>
      </c>
      <c r="N331" s="17">
        <v>24.61</v>
      </c>
      <c r="O331" s="16" t="s">
        <v>33</v>
      </c>
      <c r="P331" s="12">
        <v>0.45669999999999999</v>
      </c>
      <c r="Q331" s="12">
        <v>1.46</v>
      </c>
    </row>
    <row r="332" spans="1:17" x14ac:dyDescent="0.35">
      <c r="A332" s="18" t="s">
        <v>675</v>
      </c>
      <c r="B332" s="18" t="s">
        <v>650</v>
      </c>
      <c r="C332" s="19" t="s">
        <v>170</v>
      </c>
      <c r="D332" s="18" t="s">
        <v>171</v>
      </c>
      <c r="E332" s="20" t="s">
        <v>97</v>
      </c>
      <c r="F332" s="21" t="s">
        <v>98</v>
      </c>
      <c r="G332" s="18" t="s">
        <v>32</v>
      </c>
      <c r="H332" s="18">
        <v>156.81</v>
      </c>
      <c r="I332" s="18">
        <v>141.22</v>
      </c>
      <c r="J332" s="18">
        <v>1067</v>
      </c>
      <c r="K332" s="18">
        <v>167316.26999999999</v>
      </c>
      <c r="L332" s="18">
        <v>150681.74</v>
      </c>
      <c r="M332" s="23">
        <v>-16634.53</v>
      </c>
      <c r="N332" s="23">
        <v>-9.94</v>
      </c>
      <c r="O332" s="24" t="s">
        <v>45</v>
      </c>
      <c r="P332" s="18">
        <v>0.46710000000000002</v>
      </c>
      <c r="Q332" s="18">
        <v>0.93</v>
      </c>
    </row>
    <row r="333" spans="1:17" x14ac:dyDescent="0.35">
      <c r="A333" s="12" t="s">
        <v>676</v>
      </c>
      <c r="B333" s="12" t="s">
        <v>677</v>
      </c>
      <c r="C333" s="13" t="s">
        <v>60</v>
      </c>
      <c r="D333" s="12" t="s">
        <v>61</v>
      </c>
      <c r="E333" s="14" t="s">
        <v>22</v>
      </c>
      <c r="F333" s="15" t="s">
        <v>38</v>
      </c>
      <c r="G333" s="12" t="s">
        <v>32</v>
      </c>
      <c r="H333" s="12">
        <v>140.44999999999999</v>
      </c>
      <c r="I333" s="12">
        <v>129.05000000000001</v>
      </c>
      <c r="J333" s="12">
        <v>3828</v>
      </c>
      <c r="K333" s="12">
        <v>537642.6</v>
      </c>
      <c r="L333" s="12">
        <v>494003.4</v>
      </c>
      <c r="M333" s="16">
        <v>-43639.199999999997</v>
      </c>
      <c r="N333" s="16">
        <v>-8.1199999999999992</v>
      </c>
      <c r="O333" s="25" t="s">
        <v>45</v>
      </c>
      <c r="P333" s="12">
        <v>0.48949999999999999</v>
      </c>
      <c r="Q333" s="12">
        <v>0.8</v>
      </c>
    </row>
    <row r="334" spans="1:17" x14ac:dyDescent="0.35">
      <c r="A334" s="18" t="s">
        <v>678</v>
      </c>
      <c r="B334" s="18" t="s">
        <v>542</v>
      </c>
      <c r="C334" s="19" t="s">
        <v>170</v>
      </c>
      <c r="D334" s="18" t="s">
        <v>171</v>
      </c>
      <c r="E334" s="20" t="s">
        <v>97</v>
      </c>
      <c r="F334" s="21" t="s">
        <v>62</v>
      </c>
      <c r="G334" s="18" t="s">
        <v>32</v>
      </c>
      <c r="H334" s="18">
        <v>133.19</v>
      </c>
      <c r="I334" s="18">
        <v>164.65</v>
      </c>
      <c r="J334" s="18">
        <v>1044</v>
      </c>
      <c r="K334" s="18">
        <v>139050.35999999999</v>
      </c>
      <c r="L334" s="18">
        <v>171894.6</v>
      </c>
      <c r="M334" s="22">
        <v>32844.239999999998</v>
      </c>
      <c r="N334" s="22">
        <v>23.62</v>
      </c>
      <c r="O334" s="23" t="s">
        <v>33</v>
      </c>
      <c r="P334" s="18">
        <v>0.1389</v>
      </c>
      <c r="Q334" s="18">
        <v>1.64</v>
      </c>
    </row>
    <row r="335" spans="1:17" x14ac:dyDescent="0.35">
      <c r="A335" s="12" t="s">
        <v>679</v>
      </c>
      <c r="B335" s="12" t="s">
        <v>646</v>
      </c>
      <c r="C335" s="13" t="s">
        <v>150</v>
      </c>
      <c r="D335" s="12" t="s">
        <v>151</v>
      </c>
      <c r="E335" s="14" t="s">
        <v>55</v>
      </c>
      <c r="F335" s="15" t="s">
        <v>98</v>
      </c>
      <c r="G335" s="12" t="s">
        <v>39</v>
      </c>
      <c r="H335" s="12">
        <v>174.54</v>
      </c>
      <c r="I335" s="12">
        <v>122.58</v>
      </c>
      <c r="J335" s="12">
        <v>3237</v>
      </c>
      <c r="K335" s="12">
        <v>564985.98</v>
      </c>
      <c r="L335" s="12">
        <v>396791.46</v>
      </c>
      <c r="M335" s="16">
        <v>-168194.52</v>
      </c>
      <c r="N335" s="16">
        <v>-29.77</v>
      </c>
      <c r="O335" s="16" t="s">
        <v>33</v>
      </c>
      <c r="P335" s="12">
        <v>0.53290000000000004</v>
      </c>
      <c r="Q335" s="12">
        <v>0.64</v>
      </c>
    </row>
    <row r="336" spans="1:17" x14ac:dyDescent="0.35">
      <c r="A336" s="18" t="s">
        <v>680</v>
      </c>
      <c r="B336" s="18" t="s">
        <v>401</v>
      </c>
      <c r="C336" s="19" t="s">
        <v>42</v>
      </c>
      <c r="D336" s="18" t="s">
        <v>43</v>
      </c>
      <c r="E336" s="20" t="s">
        <v>44</v>
      </c>
      <c r="F336" s="21" t="s">
        <v>23</v>
      </c>
      <c r="G336" s="18" t="s">
        <v>65</v>
      </c>
      <c r="H336" s="18">
        <v>618.62</v>
      </c>
      <c r="I336" s="18">
        <v>682.93</v>
      </c>
      <c r="J336" s="18">
        <v>3509</v>
      </c>
      <c r="K336" s="18">
        <v>2170737.58</v>
      </c>
      <c r="L336" s="18">
        <v>2396401.37</v>
      </c>
      <c r="M336" s="22">
        <v>225663.79</v>
      </c>
      <c r="N336" s="22">
        <v>10.4</v>
      </c>
      <c r="O336" s="24" t="s">
        <v>45</v>
      </c>
      <c r="P336" s="18">
        <v>0.47520000000000001</v>
      </c>
      <c r="Q336" s="18">
        <v>1.29</v>
      </c>
    </row>
    <row r="337" spans="1:17" x14ac:dyDescent="0.35">
      <c r="A337" s="12" t="s">
        <v>681</v>
      </c>
      <c r="B337" s="12" t="s">
        <v>682</v>
      </c>
      <c r="C337" s="13" t="s">
        <v>20</v>
      </c>
      <c r="D337" s="12" t="s">
        <v>21</v>
      </c>
      <c r="E337" s="14" t="s">
        <v>22</v>
      </c>
      <c r="F337" s="15" t="s">
        <v>23</v>
      </c>
      <c r="G337" s="12" t="s">
        <v>32</v>
      </c>
      <c r="H337" s="12">
        <v>654.78</v>
      </c>
      <c r="I337" s="12">
        <v>1026.03</v>
      </c>
      <c r="J337" s="12">
        <v>1928</v>
      </c>
      <c r="K337" s="12">
        <v>1262415.8400000001</v>
      </c>
      <c r="L337" s="12">
        <v>1978185.84</v>
      </c>
      <c r="M337" s="17">
        <v>715770</v>
      </c>
      <c r="N337" s="17">
        <v>56.7</v>
      </c>
      <c r="O337" s="16" t="s">
        <v>33</v>
      </c>
      <c r="P337" s="12">
        <v>0.53029999999999999</v>
      </c>
      <c r="Q337" s="12">
        <v>0.68</v>
      </c>
    </row>
    <row r="338" spans="1:17" x14ac:dyDescent="0.35">
      <c r="A338" s="18" t="s">
        <v>683</v>
      </c>
      <c r="B338" s="18" t="s">
        <v>684</v>
      </c>
      <c r="C338" s="19" t="s">
        <v>119</v>
      </c>
      <c r="D338" s="18" t="s">
        <v>120</v>
      </c>
      <c r="E338" s="20" t="s">
        <v>44</v>
      </c>
      <c r="F338" s="21" t="s">
        <v>98</v>
      </c>
      <c r="G338" s="18" t="s">
        <v>24</v>
      </c>
      <c r="H338" s="18">
        <v>48.76</v>
      </c>
      <c r="I338" s="18">
        <v>43.18</v>
      </c>
      <c r="J338" s="18">
        <v>807</v>
      </c>
      <c r="K338" s="18">
        <v>39349.32</v>
      </c>
      <c r="L338" s="18">
        <v>34846.26</v>
      </c>
      <c r="M338" s="23">
        <v>-4503.0600000000004</v>
      </c>
      <c r="N338" s="23">
        <v>-11.44</v>
      </c>
      <c r="O338" s="24" t="s">
        <v>45</v>
      </c>
      <c r="P338" s="18">
        <v>0.20630000000000001</v>
      </c>
      <c r="Q338" s="18">
        <v>1.28</v>
      </c>
    </row>
    <row r="339" spans="1:17" x14ac:dyDescent="0.35">
      <c r="A339" s="12" t="s">
        <v>685</v>
      </c>
      <c r="B339" s="12" t="s">
        <v>686</v>
      </c>
      <c r="C339" s="13" t="s">
        <v>137</v>
      </c>
      <c r="D339" s="12" t="s">
        <v>138</v>
      </c>
      <c r="E339" s="14" t="s">
        <v>50</v>
      </c>
      <c r="F339" s="15" t="s">
        <v>38</v>
      </c>
      <c r="G339" s="12" t="s">
        <v>39</v>
      </c>
      <c r="H339" s="12">
        <v>107.89</v>
      </c>
      <c r="I339" s="12">
        <v>91.38</v>
      </c>
      <c r="J339" s="12">
        <v>3116</v>
      </c>
      <c r="K339" s="12">
        <v>336185.24</v>
      </c>
      <c r="L339" s="12">
        <v>284740.08</v>
      </c>
      <c r="M339" s="16">
        <v>-51445.16</v>
      </c>
      <c r="N339" s="16">
        <v>-15.3</v>
      </c>
      <c r="O339" s="25" t="s">
        <v>45</v>
      </c>
      <c r="P339" s="12">
        <v>0.45219999999999999</v>
      </c>
      <c r="Q339" s="12">
        <v>0.83</v>
      </c>
    </row>
    <row r="340" spans="1:17" x14ac:dyDescent="0.35">
      <c r="A340" s="18" t="s">
        <v>687</v>
      </c>
      <c r="B340" s="18" t="s">
        <v>214</v>
      </c>
      <c r="C340" s="19" t="s">
        <v>36</v>
      </c>
      <c r="D340" s="18" t="s">
        <v>37</v>
      </c>
      <c r="E340" s="20" t="s">
        <v>30</v>
      </c>
      <c r="F340" s="21" t="s">
        <v>31</v>
      </c>
      <c r="G340" s="18" t="s">
        <v>32</v>
      </c>
      <c r="H340" s="18">
        <v>180.01</v>
      </c>
      <c r="I340" s="18">
        <v>226.65</v>
      </c>
      <c r="J340" s="18">
        <v>3459</v>
      </c>
      <c r="K340" s="18">
        <v>622654.59</v>
      </c>
      <c r="L340" s="18">
        <v>783982.35</v>
      </c>
      <c r="M340" s="22">
        <v>161327.76</v>
      </c>
      <c r="N340" s="22">
        <v>25.91</v>
      </c>
      <c r="O340" s="23" t="s">
        <v>33</v>
      </c>
      <c r="P340" s="18">
        <v>0.39350000000000002</v>
      </c>
      <c r="Q340" s="18">
        <v>1.43</v>
      </c>
    </row>
    <row r="341" spans="1:17" x14ac:dyDescent="0.35">
      <c r="A341" s="12" t="s">
        <v>688</v>
      </c>
      <c r="B341" s="12" t="s">
        <v>187</v>
      </c>
      <c r="C341" s="13" t="s">
        <v>178</v>
      </c>
      <c r="D341" s="12" t="s">
        <v>179</v>
      </c>
      <c r="E341" s="14" t="s">
        <v>22</v>
      </c>
      <c r="F341" s="15" t="s">
        <v>38</v>
      </c>
      <c r="G341" s="12" t="s">
        <v>32</v>
      </c>
      <c r="H341" s="12">
        <v>154.21</v>
      </c>
      <c r="I341" s="12">
        <v>192.9</v>
      </c>
      <c r="J341" s="12">
        <v>2619</v>
      </c>
      <c r="K341" s="12">
        <v>403875.99</v>
      </c>
      <c r="L341" s="12">
        <v>505205.1</v>
      </c>
      <c r="M341" s="17">
        <v>101329.11</v>
      </c>
      <c r="N341" s="17">
        <v>25.09</v>
      </c>
      <c r="O341" s="16" t="s">
        <v>33</v>
      </c>
      <c r="P341" s="12">
        <v>0.22239999999999999</v>
      </c>
      <c r="Q341" s="12">
        <v>1.19</v>
      </c>
    </row>
    <row r="342" spans="1:17" x14ac:dyDescent="0.35">
      <c r="A342" s="18" t="s">
        <v>689</v>
      </c>
      <c r="B342" s="18" t="s">
        <v>690</v>
      </c>
      <c r="C342" s="19" t="s">
        <v>103</v>
      </c>
      <c r="D342" s="18" t="s">
        <v>104</v>
      </c>
      <c r="E342" s="20" t="s">
        <v>22</v>
      </c>
      <c r="F342" s="21" t="s">
        <v>31</v>
      </c>
      <c r="G342" s="18" t="s">
        <v>24</v>
      </c>
      <c r="H342" s="18">
        <v>360.44</v>
      </c>
      <c r="I342" s="18">
        <v>543.58000000000004</v>
      </c>
      <c r="J342" s="18">
        <v>459</v>
      </c>
      <c r="K342" s="18">
        <v>165441.96</v>
      </c>
      <c r="L342" s="18">
        <v>249503.22</v>
      </c>
      <c r="M342" s="22">
        <v>84061.26</v>
      </c>
      <c r="N342" s="22">
        <v>50.81</v>
      </c>
      <c r="O342" s="23" t="s">
        <v>33</v>
      </c>
      <c r="P342" s="18">
        <v>0.34350000000000003</v>
      </c>
      <c r="Q342" s="18">
        <v>1.44</v>
      </c>
    </row>
    <row r="343" spans="1:17" x14ac:dyDescent="0.35">
      <c r="A343" s="12" t="s">
        <v>691</v>
      </c>
      <c r="B343" s="12" t="s">
        <v>643</v>
      </c>
      <c r="C343" s="13" t="s">
        <v>48</v>
      </c>
      <c r="D343" s="12" t="s">
        <v>49</v>
      </c>
      <c r="E343" s="14" t="s">
        <v>50</v>
      </c>
      <c r="F343" s="15" t="s">
        <v>62</v>
      </c>
      <c r="G343" s="12" t="s">
        <v>32</v>
      </c>
      <c r="H343" s="12">
        <v>65.11</v>
      </c>
      <c r="I343" s="12">
        <v>86.34</v>
      </c>
      <c r="J343" s="12">
        <v>882</v>
      </c>
      <c r="K343" s="12">
        <v>57427.02</v>
      </c>
      <c r="L343" s="12">
        <v>76151.88</v>
      </c>
      <c r="M343" s="17">
        <v>18724.86</v>
      </c>
      <c r="N343" s="17">
        <v>32.61</v>
      </c>
      <c r="O343" s="16" t="s">
        <v>33</v>
      </c>
      <c r="P343" s="12">
        <v>0.28960000000000002</v>
      </c>
      <c r="Q343" s="12">
        <v>1.31</v>
      </c>
    </row>
    <row r="344" spans="1:17" x14ac:dyDescent="0.35">
      <c r="A344" s="18" t="s">
        <v>692</v>
      </c>
      <c r="B344" s="18" t="s">
        <v>693</v>
      </c>
      <c r="C344" s="19" t="s">
        <v>103</v>
      </c>
      <c r="D344" s="18" t="s">
        <v>104</v>
      </c>
      <c r="E344" s="20" t="s">
        <v>22</v>
      </c>
      <c r="F344" s="21" t="s">
        <v>23</v>
      </c>
      <c r="G344" s="18" t="s">
        <v>32</v>
      </c>
      <c r="H344" s="18">
        <v>297.06</v>
      </c>
      <c r="I344" s="18">
        <v>326.92</v>
      </c>
      <c r="J344" s="18">
        <v>2489</v>
      </c>
      <c r="K344" s="18">
        <v>739382.34</v>
      </c>
      <c r="L344" s="18">
        <v>813703.88</v>
      </c>
      <c r="M344" s="22">
        <v>74321.539999999994</v>
      </c>
      <c r="N344" s="22">
        <v>10.050000000000001</v>
      </c>
      <c r="O344" s="24" t="s">
        <v>45</v>
      </c>
      <c r="P344" s="18">
        <v>0.46439999999999998</v>
      </c>
      <c r="Q344" s="18">
        <v>1.44</v>
      </c>
    </row>
    <row r="345" spans="1:17" x14ac:dyDescent="0.35">
      <c r="A345" s="12" t="s">
        <v>694</v>
      </c>
      <c r="B345" s="12" t="s">
        <v>695</v>
      </c>
      <c r="C345" s="13" t="s">
        <v>215</v>
      </c>
      <c r="D345" s="12" t="s">
        <v>216</v>
      </c>
      <c r="E345" s="14" t="s">
        <v>50</v>
      </c>
      <c r="F345" s="15" t="s">
        <v>98</v>
      </c>
      <c r="G345" s="12" t="s">
        <v>39</v>
      </c>
      <c r="H345" s="12">
        <v>139.58000000000001</v>
      </c>
      <c r="I345" s="12">
        <v>99.56</v>
      </c>
      <c r="J345" s="12">
        <v>2013</v>
      </c>
      <c r="K345" s="12">
        <v>280974.53999999998</v>
      </c>
      <c r="L345" s="12">
        <v>200414.28</v>
      </c>
      <c r="M345" s="16">
        <v>-80560.259999999995</v>
      </c>
      <c r="N345" s="16">
        <v>-28.67</v>
      </c>
      <c r="O345" s="16" t="s">
        <v>33</v>
      </c>
      <c r="P345" s="12">
        <v>0.45540000000000003</v>
      </c>
      <c r="Q345" s="12">
        <v>1.3</v>
      </c>
    </row>
    <row r="346" spans="1:17" x14ac:dyDescent="0.35">
      <c r="A346" s="18" t="s">
        <v>696</v>
      </c>
      <c r="B346" s="18" t="s">
        <v>697</v>
      </c>
      <c r="C346" s="19" t="s">
        <v>87</v>
      </c>
      <c r="D346" s="18" t="s">
        <v>88</v>
      </c>
      <c r="E346" s="20" t="s">
        <v>22</v>
      </c>
      <c r="F346" s="21" t="s">
        <v>38</v>
      </c>
      <c r="G346" s="18" t="s">
        <v>32</v>
      </c>
      <c r="H346" s="18">
        <v>330.47</v>
      </c>
      <c r="I346" s="18">
        <v>318.74</v>
      </c>
      <c r="J346" s="18">
        <v>3917</v>
      </c>
      <c r="K346" s="18">
        <v>1294450.99</v>
      </c>
      <c r="L346" s="18">
        <v>1248504.58</v>
      </c>
      <c r="M346" s="23">
        <v>-45946.41</v>
      </c>
      <c r="N346" s="23">
        <v>-3.55</v>
      </c>
      <c r="O346" s="22" t="s">
        <v>25</v>
      </c>
      <c r="P346" s="18">
        <v>0.27410000000000001</v>
      </c>
      <c r="Q346" s="18">
        <v>1.52</v>
      </c>
    </row>
    <row r="347" spans="1:17" x14ac:dyDescent="0.35">
      <c r="A347" s="12" t="s">
        <v>698</v>
      </c>
      <c r="B347" s="12" t="s">
        <v>699</v>
      </c>
      <c r="C347" s="13" t="s">
        <v>119</v>
      </c>
      <c r="D347" s="12" t="s">
        <v>120</v>
      </c>
      <c r="E347" s="14" t="s">
        <v>44</v>
      </c>
      <c r="F347" s="15" t="s">
        <v>98</v>
      </c>
      <c r="G347" s="12" t="s">
        <v>39</v>
      </c>
      <c r="H347" s="12">
        <v>42.1</v>
      </c>
      <c r="I347" s="12">
        <v>41.74</v>
      </c>
      <c r="J347" s="12">
        <v>1082</v>
      </c>
      <c r="K347" s="12">
        <v>45552.2</v>
      </c>
      <c r="L347" s="12">
        <v>45162.68</v>
      </c>
      <c r="M347" s="16">
        <v>-389.52</v>
      </c>
      <c r="N347" s="16">
        <v>-0.86</v>
      </c>
      <c r="O347" s="17" t="s">
        <v>25</v>
      </c>
      <c r="P347" s="12">
        <v>0.25080000000000002</v>
      </c>
      <c r="Q347" s="12">
        <v>1.45</v>
      </c>
    </row>
    <row r="348" spans="1:17" x14ac:dyDescent="0.35">
      <c r="A348" s="18" t="s">
        <v>700</v>
      </c>
      <c r="B348" s="18" t="s">
        <v>701</v>
      </c>
      <c r="C348" s="19" t="s">
        <v>53</v>
      </c>
      <c r="D348" s="18" t="s">
        <v>54</v>
      </c>
      <c r="E348" s="20" t="s">
        <v>55</v>
      </c>
      <c r="F348" s="21" t="s">
        <v>98</v>
      </c>
      <c r="G348" s="18" t="s">
        <v>39</v>
      </c>
      <c r="H348" s="18">
        <v>78.959999999999994</v>
      </c>
      <c r="I348" s="18">
        <v>57.97</v>
      </c>
      <c r="J348" s="18">
        <v>1315</v>
      </c>
      <c r="K348" s="18">
        <v>103832.4</v>
      </c>
      <c r="L348" s="18">
        <v>76230.55</v>
      </c>
      <c r="M348" s="23">
        <v>-27601.85</v>
      </c>
      <c r="N348" s="23">
        <v>-26.58</v>
      </c>
      <c r="O348" s="23" t="s">
        <v>33</v>
      </c>
      <c r="P348" s="18">
        <v>0.27300000000000002</v>
      </c>
      <c r="Q348" s="18">
        <v>1.22</v>
      </c>
    </row>
    <row r="349" spans="1:17" x14ac:dyDescent="0.35">
      <c r="A349" s="12" t="s">
        <v>702</v>
      </c>
      <c r="B349" s="12" t="s">
        <v>703</v>
      </c>
      <c r="C349" s="13" t="s">
        <v>137</v>
      </c>
      <c r="D349" s="12" t="s">
        <v>138</v>
      </c>
      <c r="E349" s="14" t="s">
        <v>50</v>
      </c>
      <c r="F349" s="15" t="s">
        <v>31</v>
      </c>
      <c r="G349" s="12" t="s">
        <v>32</v>
      </c>
      <c r="H349" s="12">
        <v>116.17</v>
      </c>
      <c r="I349" s="12">
        <v>147.44</v>
      </c>
      <c r="J349" s="12">
        <v>3412</v>
      </c>
      <c r="K349" s="12">
        <v>396372.04</v>
      </c>
      <c r="L349" s="12">
        <v>503065.28</v>
      </c>
      <c r="M349" s="17">
        <v>106693.24</v>
      </c>
      <c r="N349" s="17">
        <v>26.92</v>
      </c>
      <c r="O349" s="16" t="s">
        <v>33</v>
      </c>
      <c r="P349" s="12">
        <v>0.35659999999999997</v>
      </c>
      <c r="Q349" s="12">
        <v>0.71</v>
      </c>
    </row>
    <row r="350" spans="1:17" x14ac:dyDescent="0.35">
      <c r="A350" s="18" t="s">
        <v>704</v>
      </c>
      <c r="B350" s="18" t="s">
        <v>507</v>
      </c>
      <c r="C350" s="19" t="s">
        <v>20</v>
      </c>
      <c r="D350" s="18" t="s">
        <v>21</v>
      </c>
      <c r="E350" s="20" t="s">
        <v>22</v>
      </c>
      <c r="F350" s="21" t="s">
        <v>31</v>
      </c>
      <c r="G350" s="18" t="s">
        <v>32</v>
      </c>
      <c r="H350" s="18">
        <v>659.47</v>
      </c>
      <c r="I350" s="18">
        <v>1033.92</v>
      </c>
      <c r="J350" s="18">
        <v>605</v>
      </c>
      <c r="K350" s="18">
        <v>398979.35</v>
      </c>
      <c r="L350" s="18">
        <v>625521.6</v>
      </c>
      <c r="M350" s="22">
        <v>226542.25</v>
      </c>
      <c r="N350" s="22">
        <v>56.78</v>
      </c>
      <c r="O350" s="23" t="s">
        <v>33</v>
      </c>
      <c r="P350" s="18">
        <v>0.1762</v>
      </c>
      <c r="Q350" s="18">
        <v>1.59</v>
      </c>
    </row>
    <row r="351" spans="1:17" x14ac:dyDescent="0.35">
      <c r="A351" s="12" t="s">
        <v>705</v>
      </c>
      <c r="B351" s="12" t="s">
        <v>510</v>
      </c>
      <c r="C351" s="13" t="s">
        <v>48</v>
      </c>
      <c r="D351" s="12" t="s">
        <v>49</v>
      </c>
      <c r="E351" s="14" t="s">
        <v>50</v>
      </c>
      <c r="F351" s="15" t="s">
        <v>62</v>
      </c>
      <c r="G351" s="12" t="s">
        <v>32</v>
      </c>
      <c r="H351" s="12">
        <v>60.3</v>
      </c>
      <c r="I351" s="12">
        <v>87.37</v>
      </c>
      <c r="J351" s="12">
        <v>4901</v>
      </c>
      <c r="K351" s="12">
        <v>295530.3</v>
      </c>
      <c r="L351" s="12">
        <v>428200.37</v>
      </c>
      <c r="M351" s="17">
        <v>132670.07</v>
      </c>
      <c r="N351" s="17">
        <v>44.89</v>
      </c>
      <c r="O351" s="16" t="s">
        <v>33</v>
      </c>
      <c r="P351" s="12">
        <v>0.12939999999999999</v>
      </c>
      <c r="Q351" s="12">
        <v>0.68</v>
      </c>
    </row>
    <row r="352" spans="1:17" x14ac:dyDescent="0.35">
      <c r="A352" s="18" t="s">
        <v>706</v>
      </c>
      <c r="B352" s="18" t="s">
        <v>707</v>
      </c>
      <c r="C352" s="19" t="s">
        <v>119</v>
      </c>
      <c r="D352" s="18" t="s">
        <v>120</v>
      </c>
      <c r="E352" s="20" t="s">
        <v>44</v>
      </c>
      <c r="F352" s="21" t="s">
        <v>98</v>
      </c>
      <c r="G352" s="18" t="s">
        <v>32</v>
      </c>
      <c r="H352" s="18">
        <v>41.41</v>
      </c>
      <c r="I352" s="18">
        <v>49.8</v>
      </c>
      <c r="J352" s="18">
        <v>1103</v>
      </c>
      <c r="K352" s="18">
        <v>45675.23</v>
      </c>
      <c r="L352" s="18">
        <v>54929.4</v>
      </c>
      <c r="M352" s="22">
        <v>9254.17</v>
      </c>
      <c r="N352" s="22">
        <v>20.260000000000002</v>
      </c>
      <c r="O352" s="24" t="s">
        <v>45</v>
      </c>
      <c r="P352" s="18">
        <v>0.19220000000000001</v>
      </c>
      <c r="Q352" s="18">
        <v>1.29</v>
      </c>
    </row>
    <row r="353" spans="1:17" x14ac:dyDescent="0.35">
      <c r="A353" s="12" t="s">
        <v>708</v>
      </c>
      <c r="B353" s="12" t="s">
        <v>296</v>
      </c>
      <c r="C353" s="13" t="s">
        <v>77</v>
      </c>
      <c r="D353" s="12" t="s">
        <v>78</v>
      </c>
      <c r="E353" s="14" t="s">
        <v>44</v>
      </c>
      <c r="F353" s="15" t="s">
        <v>38</v>
      </c>
      <c r="G353" s="12" t="s">
        <v>32</v>
      </c>
      <c r="H353" s="12">
        <v>148.80000000000001</v>
      </c>
      <c r="I353" s="12">
        <v>153.31</v>
      </c>
      <c r="J353" s="12">
        <v>3595</v>
      </c>
      <c r="K353" s="12">
        <v>534936</v>
      </c>
      <c r="L353" s="12">
        <v>551149.44999999995</v>
      </c>
      <c r="M353" s="17">
        <v>16213.45</v>
      </c>
      <c r="N353" s="17">
        <v>3.03</v>
      </c>
      <c r="O353" s="17" t="s">
        <v>25</v>
      </c>
      <c r="P353" s="12">
        <v>0.20050000000000001</v>
      </c>
      <c r="Q353" s="12">
        <v>0.94</v>
      </c>
    </row>
    <row r="354" spans="1:17" x14ac:dyDescent="0.35">
      <c r="A354" s="18" t="s">
        <v>709</v>
      </c>
      <c r="B354" s="18" t="s">
        <v>710</v>
      </c>
      <c r="C354" s="19" t="s">
        <v>87</v>
      </c>
      <c r="D354" s="18" t="s">
        <v>88</v>
      </c>
      <c r="E354" s="20" t="s">
        <v>22</v>
      </c>
      <c r="F354" s="21" t="s">
        <v>98</v>
      </c>
      <c r="G354" s="18" t="s">
        <v>39</v>
      </c>
      <c r="H354" s="18">
        <v>340.76</v>
      </c>
      <c r="I354" s="18">
        <v>297.58999999999997</v>
      </c>
      <c r="J354" s="18">
        <v>4186</v>
      </c>
      <c r="K354" s="18">
        <v>1426421.36</v>
      </c>
      <c r="L354" s="18">
        <v>1245711.74</v>
      </c>
      <c r="M354" s="23">
        <v>-180709.62</v>
      </c>
      <c r="N354" s="23">
        <v>-12.67</v>
      </c>
      <c r="O354" s="24" t="s">
        <v>45</v>
      </c>
      <c r="P354" s="18">
        <v>0.1462</v>
      </c>
      <c r="Q354" s="18">
        <v>0.94</v>
      </c>
    </row>
    <row r="355" spans="1:17" x14ac:dyDescent="0.35">
      <c r="A355" s="12" t="s">
        <v>711</v>
      </c>
      <c r="B355" s="12" t="s">
        <v>35</v>
      </c>
      <c r="C355" s="13" t="s">
        <v>87</v>
      </c>
      <c r="D355" s="12" t="s">
        <v>88</v>
      </c>
      <c r="E355" s="14" t="s">
        <v>22</v>
      </c>
      <c r="F355" s="15" t="s">
        <v>62</v>
      </c>
      <c r="G355" s="12" t="s">
        <v>39</v>
      </c>
      <c r="H355" s="12">
        <v>363.73</v>
      </c>
      <c r="I355" s="12">
        <v>359.73</v>
      </c>
      <c r="J355" s="12">
        <v>2141</v>
      </c>
      <c r="K355" s="12">
        <v>778745.93</v>
      </c>
      <c r="L355" s="12">
        <v>770181.93</v>
      </c>
      <c r="M355" s="16">
        <v>-8564</v>
      </c>
      <c r="N355" s="16">
        <v>-1.1000000000000001</v>
      </c>
      <c r="O355" s="17" t="s">
        <v>25</v>
      </c>
      <c r="P355" s="12">
        <v>0.46179999999999999</v>
      </c>
      <c r="Q355" s="12">
        <v>1.79</v>
      </c>
    </row>
    <row r="356" spans="1:17" x14ac:dyDescent="0.35">
      <c r="A356" s="18" t="s">
        <v>712</v>
      </c>
      <c r="B356" s="18" t="s">
        <v>713</v>
      </c>
      <c r="C356" s="19" t="s">
        <v>48</v>
      </c>
      <c r="D356" s="18" t="s">
        <v>49</v>
      </c>
      <c r="E356" s="20" t="s">
        <v>50</v>
      </c>
      <c r="F356" s="21" t="s">
        <v>98</v>
      </c>
      <c r="G356" s="18" t="s">
        <v>39</v>
      </c>
      <c r="H356" s="18">
        <v>65.05</v>
      </c>
      <c r="I356" s="18">
        <v>51.95</v>
      </c>
      <c r="J356" s="18">
        <v>4733</v>
      </c>
      <c r="K356" s="18">
        <v>307881.65000000002</v>
      </c>
      <c r="L356" s="18">
        <v>245879.35</v>
      </c>
      <c r="M356" s="23">
        <v>-62002.3</v>
      </c>
      <c r="N356" s="23">
        <v>-20.14</v>
      </c>
      <c r="O356" s="24" t="s">
        <v>45</v>
      </c>
      <c r="P356" s="18">
        <v>0.1973</v>
      </c>
      <c r="Q356" s="18">
        <v>0.98</v>
      </c>
    </row>
    <row r="357" spans="1:17" x14ac:dyDescent="0.35">
      <c r="A357" s="12" t="s">
        <v>714</v>
      </c>
      <c r="B357" s="12" t="s">
        <v>715</v>
      </c>
      <c r="C357" s="13" t="s">
        <v>150</v>
      </c>
      <c r="D357" s="12" t="s">
        <v>151</v>
      </c>
      <c r="E357" s="14" t="s">
        <v>55</v>
      </c>
      <c r="F357" s="15" t="s">
        <v>31</v>
      </c>
      <c r="G357" s="12" t="s">
        <v>24</v>
      </c>
      <c r="H357" s="12">
        <v>156.37</v>
      </c>
      <c r="I357" s="12">
        <v>221.54</v>
      </c>
      <c r="J357" s="12">
        <v>3964</v>
      </c>
      <c r="K357" s="12">
        <v>619850.68000000005</v>
      </c>
      <c r="L357" s="12">
        <v>878184.56</v>
      </c>
      <c r="M357" s="17">
        <v>258333.88</v>
      </c>
      <c r="N357" s="17">
        <v>41.68</v>
      </c>
      <c r="O357" s="16" t="s">
        <v>33</v>
      </c>
      <c r="P357" s="12">
        <v>0.54979999999999996</v>
      </c>
      <c r="Q357" s="12">
        <v>1.77</v>
      </c>
    </row>
    <row r="358" spans="1:17" x14ac:dyDescent="0.35">
      <c r="A358" s="18" t="s">
        <v>716</v>
      </c>
      <c r="B358" s="18" t="s">
        <v>100</v>
      </c>
      <c r="C358" s="19" t="s">
        <v>20</v>
      </c>
      <c r="D358" s="18" t="s">
        <v>21</v>
      </c>
      <c r="E358" s="20" t="s">
        <v>22</v>
      </c>
      <c r="F358" s="21" t="s">
        <v>98</v>
      </c>
      <c r="G358" s="18" t="s">
        <v>39</v>
      </c>
      <c r="H358" s="18">
        <v>656.93</v>
      </c>
      <c r="I358" s="18">
        <v>684.48</v>
      </c>
      <c r="J358" s="18">
        <v>4471</v>
      </c>
      <c r="K358" s="18">
        <v>2937134.03</v>
      </c>
      <c r="L358" s="18">
        <v>3060310.08</v>
      </c>
      <c r="M358" s="22">
        <v>123176.05</v>
      </c>
      <c r="N358" s="22">
        <v>4.1900000000000004</v>
      </c>
      <c r="O358" s="22" t="s">
        <v>25</v>
      </c>
      <c r="P358" s="18">
        <v>0.14399999999999999</v>
      </c>
      <c r="Q358" s="18">
        <v>1.8</v>
      </c>
    </row>
    <row r="359" spans="1:17" x14ac:dyDescent="0.35">
      <c r="A359" s="12" t="s">
        <v>717</v>
      </c>
      <c r="B359" s="12" t="s">
        <v>596</v>
      </c>
      <c r="C359" s="13" t="s">
        <v>150</v>
      </c>
      <c r="D359" s="12" t="s">
        <v>151</v>
      </c>
      <c r="E359" s="14" t="s">
        <v>55</v>
      </c>
      <c r="F359" s="15" t="s">
        <v>98</v>
      </c>
      <c r="G359" s="12" t="s">
        <v>32</v>
      </c>
      <c r="H359" s="12">
        <v>139.94</v>
      </c>
      <c r="I359" s="12">
        <v>181.19</v>
      </c>
      <c r="J359" s="12">
        <v>1523</v>
      </c>
      <c r="K359" s="12">
        <v>213128.62</v>
      </c>
      <c r="L359" s="12">
        <v>275952.37</v>
      </c>
      <c r="M359" s="17">
        <v>62823.75</v>
      </c>
      <c r="N359" s="17">
        <v>29.48</v>
      </c>
      <c r="O359" s="16" t="s">
        <v>33</v>
      </c>
      <c r="P359" s="12">
        <v>0.4667</v>
      </c>
      <c r="Q359" s="12">
        <v>1.44</v>
      </c>
    </row>
    <row r="360" spans="1:17" x14ac:dyDescent="0.35">
      <c r="A360" s="18" t="s">
        <v>718</v>
      </c>
      <c r="B360" s="18" t="s">
        <v>719</v>
      </c>
      <c r="C360" s="19" t="s">
        <v>28</v>
      </c>
      <c r="D360" s="18" t="s">
        <v>29</v>
      </c>
      <c r="E360" s="20" t="s">
        <v>30</v>
      </c>
      <c r="F360" s="21" t="s">
        <v>62</v>
      </c>
      <c r="G360" s="18" t="s">
        <v>65</v>
      </c>
      <c r="H360" s="18">
        <v>214.23</v>
      </c>
      <c r="I360" s="18">
        <v>330.74</v>
      </c>
      <c r="J360" s="18">
        <v>4717</v>
      </c>
      <c r="K360" s="18">
        <v>1010522.91</v>
      </c>
      <c r="L360" s="18">
        <v>1560100.58</v>
      </c>
      <c r="M360" s="22">
        <v>549577.67000000004</v>
      </c>
      <c r="N360" s="22">
        <v>54.39</v>
      </c>
      <c r="O360" s="23" t="s">
        <v>33</v>
      </c>
      <c r="P360" s="18">
        <v>0.4798</v>
      </c>
      <c r="Q360" s="18">
        <v>1.57</v>
      </c>
    </row>
    <row r="361" spans="1:17" x14ac:dyDescent="0.35">
      <c r="A361" s="12" t="s">
        <v>720</v>
      </c>
      <c r="B361" s="12" t="s">
        <v>721</v>
      </c>
      <c r="C361" s="13" t="s">
        <v>115</v>
      </c>
      <c r="D361" s="12" t="s">
        <v>116</v>
      </c>
      <c r="E361" s="14" t="s">
        <v>55</v>
      </c>
      <c r="F361" s="15" t="s">
        <v>23</v>
      </c>
      <c r="G361" s="12" t="s">
        <v>24</v>
      </c>
      <c r="H361" s="12">
        <v>671.88</v>
      </c>
      <c r="I361" s="12">
        <v>617.66999999999996</v>
      </c>
      <c r="J361" s="12">
        <v>4117</v>
      </c>
      <c r="K361" s="12">
        <v>2766129.96</v>
      </c>
      <c r="L361" s="12">
        <v>2542947.39</v>
      </c>
      <c r="M361" s="16">
        <v>-223182.57</v>
      </c>
      <c r="N361" s="16">
        <v>-8.07</v>
      </c>
      <c r="O361" s="25" t="s">
        <v>45</v>
      </c>
      <c r="P361" s="12">
        <v>0.37869999999999998</v>
      </c>
      <c r="Q361" s="12">
        <v>0.62</v>
      </c>
    </row>
    <row r="362" spans="1:17" x14ac:dyDescent="0.35">
      <c r="A362" s="18" t="s">
        <v>722</v>
      </c>
      <c r="B362" s="18" t="s">
        <v>723</v>
      </c>
      <c r="C362" s="19" t="s">
        <v>115</v>
      </c>
      <c r="D362" s="18" t="s">
        <v>116</v>
      </c>
      <c r="E362" s="20" t="s">
        <v>55</v>
      </c>
      <c r="F362" s="21" t="s">
        <v>62</v>
      </c>
      <c r="G362" s="18" t="s">
        <v>65</v>
      </c>
      <c r="H362" s="18">
        <v>851.71</v>
      </c>
      <c r="I362" s="18">
        <v>952.66</v>
      </c>
      <c r="J362" s="18">
        <v>1750</v>
      </c>
      <c r="K362" s="18">
        <v>1490492.5</v>
      </c>
      <c r="L362" s="18">
        <v>1667155</v>
      </c>
      <c r="M362" s="22">
        <v>176662.5</v>
      </c>
      <c r="N362" s="22">
        <v>11.85</v>
      </c>
      <c r="O362" s="24" t="s">
        <v>45</v>
      </c>
      <c r="P362" s="18">
        <v>0.1963</v>
      </c>
      <c r="Q362" s="18">
        <v>1.56</v>
      </c>
    </row>
    <row r="363" spans="1:17" x14ac:dyDescent="0.35">
      <c r="A363" s="12" t="s">
        <v>724</v>
      </c>
      <c r="B363" s="12" t="s">
        <v>725</v>
      </c>
      <c r="C363" s="13" t="s">
        <v>215</v>
      </c>
      <c r="D363" s="12" t="s">
        <v>216</v>
      </c>
      <c r="E363" s="14" t="s">
        <v>50</v>
      </c>
      <c r="F363" s="15" t="s">
        <v>23</v>
      </c>
      <c r="G363" s="12" t="s">
        <v>32</v>
      </c>
      <c r="H363" s="12">
        <v>169.83</v>
      </c>
      <c r="I363" s="12">
        <v>166.29</v>
      </c>
      <c r="J363" s="12">
        <v>4905</v>
      </c>
      <c r="K363" s="12">
        <v>833016.15</v>
      </c>
      <c r="L363" s="12">
        <v>815652.45</v>
      </c>
      <c r="M363" s="16">
        <v>-17363.7</v>
      </c>
      <c r="N363" s="16">
        <v>-2.08</v>
      </c>
      <c r="O363" s="17" t="s">
        <v>25</v>
      </c>
      <c r="P363" s="12">
        <v>0.16769999999999999</v>
      </c>
      <c r="Q363" s="12">
        <v>1.23</v>
      </c>
    </row>
    <row r="364" spans="1:17" x14ac:dyDescent="0.35">
      <c r="A364" s="18" t="s">
        <v>726</v>
      </c>
      <c r="B364" s="18" t="s">
        <v>665</v>
      </c>
      <c r="C364" s="19" t="s">
        <v>48</v>
      </c>
      <c r="D364" s="18" t="s">
        <v>49</v>
      </c>
      <c r="E364" s="20" t="s">
        <v>50</v>
      </c>
      <c r="F364" s="21" t="s">
        <v>38</v>
      </c>
      <c r="G364" s="18" t="s">
        <v>65</v>
      </c>
      <c r="H364" s="18">
        <v>57.22</v>
      </c>
      <c r="I364" s="18">
        <v>62.44</v>
      </c>
      <c r="J364" s="18">
        <v>4900</v>
      </c>
      <c r="K364" s="18">
        <v>280378</v>
      </c>
      <c r="L364" s="18">
        <v>305956</v>
      </c>
      <c r="M364" s="22">
        <v>25578</v>
      </c>
      <c r="N364" s="22">
        <v>9.1199999999999992</v>
      </c>
      <c r="O364" s="24" t="s">
        <v>45</v>
      </c>
      <c r="P364" s="18">
        <v>0.1787</v>
      </c>
      <c r="Q364" s="18">
        <v>0.79</v>
      </c>
    </row>
    <row r="365" spans="1:17" x14ac:dyDescent="0.35">
      <c r="A365" s="12" t="s">
        <v>727</v>
      </c>
      <c r="B365" s="12" t="s">
        <v>425</v>
      </c>
      <c r="C365" s="13" t="s">
        <v>42</v>
      </c>
      <c r="D365" s="12" t="s">
        <v>43</v>
      </c>
      <c r="E365" s="14" t="s">
        <v>44</v>
      </c>
      <c r="F365" s="15" t="s">
        <v>98</v>
      </c>
      <c r="G365" s="12" t="s">
        <v>39</v>
      </c>
      <c r="H365" s="12">
        <v>584.19000000000005</v>
      </c>
      <c r="I365" s="12">
        <v>513.22</v>
      </c>
      <c r="J365" s="12">
        <v>1527</v>
      </c>
      <c r="K365" s="12">
        <v>892058.13</v>
      </c>
      <c r="L365" s="12">
        <v>783686.94</v>
      </c>
      <c r="M365" s="16">
        <v>-108371.19</v>
      </c>
      <c r="N365" s="16">
        <v>-12.15</v>
      </c>
      <c r="O365" s="25" t="s">
        <v>45</v>
      </c>
      <c r="P365" s="12">
        <v>0.50249999999999995</v>
      </c>
      <c r="Q365" s="12">
        <v>1.34</v>
      </c>
    </row>
    <row r="366" spans="1:17" x14ac:dyDescent="0.35">
      <c r="A366" s="18" t="s">
        <v>728</v>
      </c>
      <c r="B366" s="18" t="s">
        <v>729</v>
      </c>
      <c r="C366" s="19" t="s">
        <v>48</v>
      </c>
      <c r="D366" s="18" t="s">
        <v>49</v>
      </c>
      <c r="E366" s="20" t="s">
        <v>50</v>
      </c>
      <c r="F366" s="21" t="s">
        <v>38</v>
      </c>
      <c r="G366" s="18" t="s">
        <v>32</v>
      </c>
      <c r="H366" s="18">
        <v>69.56</v>
      </c>
      <c r="I366" s="18">
        <v>75.55</v>
      </c>
      <c r="J366" s="18">
        <v>2613</v>
      </c>
      <c r="K366" s="18">
        <v>181760.28</v>
      </c>
      <c r="L366" s="18">
        <v>197412.15</v>
      </c>
      <c r="M366" s="22">
        <v>15651.87</v>
      </c>
      <c r="N366" s="22">
        <v>8.61</v>
      </c>
      <c r="O366" s="24" t="s">
        <v>45</v>
      </c>
      <c r="P366" s="18">
        <v>0.19639999999999999</v>
      </c>
      <c r="Q366" s="18">
        <v>0.6</v>
      </c>
    </row>
    <row r="367" spans="1:17" x14ac:dyDescent="0.35">
      <c r="A367" s="12" t="s">
        <v>730</v>
      </c>
      <c r="B367" s="12" t="s">
        <v>731</v>
      </c>
      <c r="C367" s="13" t="s">
        <v>28</v>
      </c>
      <c r="D367" s="12" t="s">
        <v>29</v>
      </c>
      <c r="E367" s="14" t="s">
        <v>30</v>
      </c>
      <c r="F367" s="15" t="s">
        <v>23</v>
      </c>
      <c r="G367" s="12" t="s">
        <v>32</v>
      </c>
      <c r="H367" s="12">
        <v>270.31</v>
      </c>
      <c r="I367" s="12">
        <v>420.95</v>
      </c>
      <c r="J367" s="12">
        <v>2706</v>
      </c>
      <c r="K367" s="12">
        <v>731458.86</v>
      </c>
      <c r="L367" s="12">
        <v>1139090.7</v>
      </c>
      <c r="M367" s="17">
        <v>407631.84</v>
      </c>
      <c r="N367" s="17">
        <v>55.73</v>
      </c>
      <c r="O367" s="16" t="s">
        <v>33</v>
      </c>
      <c r="P367" s="12">
        <v>0.215</v>
      </c>
      <c r="Q367" s="12">
        <v>1.28</v>
      </c>
    </row>
    <row r="368" spans="1:17" x14ac:dyDescent="0.35">
      <c r="A368" s="18" t="s">
        <v>732</v>
      </c>
      <c r="B368" s="18" t="s">
        <v>733</v>
      </c>
      <c r="C368" s="19" t="s">
        <v>115</v>
      </c>
      <c r="D368" s="18" t="s">
        <v>116</v>
      </c>
      <c r="E368" s="20" t="s">
        <v>55</v>
      </c>
      <c r="F368" s="21" t="s">
        <v>31</v>
      </c>
      <c r="G368" s="18" t="s">
        <v>65</v>
      </c>
      <c r="H368" s="18">
        <v>744.15</v>
      </c>
      <c r="I368" s="18">
        <v>821.29</v>
      </c>
      <c r="J368" s="18">
        <v>2049</v>
      </c>
      <c r="K368" s="18">
        <v>1524763.35</v>
      </c>
      <c r="L368" s="18">
        <v>1682823.21</v>
      </c>
      <c r="M368" s="22">
        <v>158059.85999999999</v>
      </c>
      <c r="N368" s="22">
        <v>10.37</v>
      </c>
      <c r="O368" s="24" t="s">
        <v>45</v>
      </c>
      <c r="P368" s="18">
        <v>0.39360000000000001</v>
      </c>
      <c r="Q368" s="18">
        <v>1.76</v>
      </c>
    </row>
    <row r="369" spans="1:17" x14ac:dyDescent="0.35">
      <c r="A369" s="12" t="s">
        <v>734</v>
      </c>
      <c r="B369" s="12" t="s">
        <v>735</v>
      </c>
      <c r="C369" s="13" t="s">
        <v>215</v>
      </c>
      <c r="D369" s="12" t="s">
        <v>216</v>
      </c>
      <c r="E369" s="14" t="s">
        <v>50</v>
      </c>
      <c r="F369" s="15" t="s">
        <v>98</v>
      </c>
      <c r="G369" s="12" t="s">
        <v>32</v>
      </c>
      <c r="H369" s="12">
        <v>147.97999999999999</v>
      </c>
      <c r="I369" s="12">
        <v>137.24</v>
      </c>
      <c r="J369" s="12">
        <v>1817</v>
      </c>
      <c r="K369" s="12">
        <v>268879.65999999997</v>
      </c>
      <c r="L369" s="12">
        <v>249365.08</v>
      </c>
      <c r="M369" s="16">
        <v>-19514.580000000002</v>
      </c>
      <c r="N369" s="16">
        <v>-7.26</v>
      </c>
      <c r="O369" s="17" t="s">
        <v>25</v>
      </c>
      <c r="P369" s="12">
        <v>0.23039999999999999</v>
      </c>
      <c r="Q369" s="12">
        <v>0.73</v>
      </c>
    </row>
    <row r="370" spans="1:17" x14ac:dyDescent="0.35">
      <c r="A370" s="18" t="s">
        <v>736</v>
      </c>
      <c r="B370" s="18" t="s">
        <v>737</v>
      </c>
      <c r="C370" s="19" t="s">
        <v>178</v>
      </c>
      <c r="D370" s="18" t="s">
        <v>179</v>
      </c>
      <c r="E370" s="20" t="s">
        <v>22</v>
      </c>
      <c r="F370" s="21" t="s">
        <v>38</v>
      </c>
      <c r="G370" s="18" t="s">
        <v>32</v>
      </c>
      <c r="H370" s="18">
        <v>199.63</v>
      </c>
      <c r="I370" s="18">
        <v>299.27999999999997</v>
      </c>
      <c r="J370" s="18">
        <v>3537</v>
      </c>
      <c r="K370" s="18">
        <v>706091.31</v>
      </c>
      <c r="L370" s="18">
        <v>1058553.3600000001</v>
      </c>
      <c r="M370" s="22">
        <v>352462.05</v>
      </c>
      <c r="N370" s="22">
        <v>49.92</v>
      </c>
      <c r="O370" s="23" t="s">
        <v>33</v>
      </c>
      <c r="P370" s="18">
        <v>0.33200000000000002</v>
      </c>
      <c r="Q370" s="18">
        <v>1.05</v>
      </c>
    </row>
    <row r="371" spans="1:17" x14ac:dyDescent="0.35">
      <c r="A371" s="12" t="s">
        <v>738</v>
      </c>
      <c r="B371" s="12" t="s">
        <v>579</v>
      </c>
      <c r="C371" s="13" t="s">
        <v>36</v>
      </c>
      <c r="D371" s="12" t="s">
        <v>37</v>
      </c>
      <c r="E371" s="14" t="s">
        <v>30</v>
      </c>
      <c r="F371" s="15" t="s">
        <v>38</v>
      </c>
      <c r="G371" s="12" t="s">
        <v>32</v>
      </c>
      <c r="H371" s="12">
        <v>219.51</v>
      </c>
      <c r="I371" s="12">
        <v>298.76</v>
      </c>
      <c r="J371" s="12">
        <v>4835</v>
      </c>
      <c r="K371" s="12">
        <v>1061330.8500000001</v>
      </c>
      <c r="L371" s="12">
        <v>1444504.6</v>
      </c>
      <c r="M371" s="17">
        <v>383173.75</v>
      </c>
      <c r="N371" s="17">
        <v>36.1</v>
      </c>
      <c r="O371" s="16" t="s">
        <v>33</v>
      </c>
      <c r="P371" s="12">
        <v>0.18990000000000001</v>
      </c>
      <c r="Q371" s="12">
        <v>0.69</v>
      </c>
    </row>
    <row r="372" spans="1:17" x14ac:dyDescent="0.35">
      <c r="A372" s="18" t="s">
        <v>739</v>
      </c>
      <c r="B372" s="18" t="s">
        <v>740</v>
      </c>
      <c r="C372" s="19" t="s">
        <v>103</v>
      </c>
      <c r="D372" s="18" t="s">
        <v>104</v>
      </c>
      <c r="E372" s="20" t="s">
        <v>22</v>
      </c>
      <c r="F372" s="21" t="s">
        <v>98</v>
      </c>
      <c r="G372" s="18" t="s">
        <v>32</v>
      </c>
      <c r="H372" s="18">
        <v>363.36</v>
      </c>
      <c r="I372" s="18">
        <v>338.63</v>
      </c>
      <c r="J372" s="18">
        <v>2239</v>
      </c>
      <c r="K372" s="18">
        <v>813563.04</v>
      </c>
      <c r="L372" s="18">
        <v>758192.57</v>
      </c>
      <c r="M372" s="23">
        <v>-55370.47</v>
      </c>
      <c r="N372" s="23">
        <v>-6.81</v>
      </c>
      <c r="O372" s="22" t="s">
        <v>25</v>
      </c>
      <c r="P372" s="18">
        <v>0.19309999999999999</v>
      </c>
      <c r="Q372" s="18">
        <v>1.05</v>
      </c>
    </row>
    <row r="373" spans="1:17" x14ac:dyDescent="0.35">
      <c r="A373" s="12" t="s">
        <v>741</v>
      </c>
      <c r="B373" s="12" t="s">
        <v>742</v>
      </c>
      <c r="C373" s="13" t="s">
        <v>60</v>
      </c>
      <c r="D373" s="12" t="s">
        <v>61</v>
      </c>
      <c r="E373" s="14" t="s">
        <v>22</v>
      </c>
      <c r="F373" s="15" t="s">
        <v>98</v>
      </c>
      <c r="G373" s="12" t="s">
        <v>32</v>
      </c>
      <c r="H373" s="12">
        <v>160.38</v>
      </c>
      <c r="I373" s="12">
        <v>241.41</v>
      </c>
      <c r="J373" s="12">
        <v>4966</v>
      </c>
      <c r="K373" s="12">
        <v>796447.08</v>
      </c>
      <c r="L373" s="12">
        <v>1198842.06</v>
      </c>
      <c r="M373" s="17">
        <v>402394.98</v>
      </c>
      <c r="N373" s="17">
        <v>50.52</v>
      </c>
      <c r="O373" s="16" t="s">
        <v>33</v>
      </c>
      <c r="P373" s="12">
        <v>0.4229</v>
      </c>
      <c r="Q373" s="12">
        <v>1.1200000000000001</v>
      </c>
    </row>
    <row r="374" spans="1:17" x14ac:dyDescent="0.35">
      <c r="A374" s="18" t="s">
        <v>743</v>
      </c>
      <c r="B374" s="18" t="s">
        <v>744</v>
      </c>
      <c r="C374" s="19" t="s">
        <v>170</v>
      </c>
      <c r="D374" s="18" t="s">
        <v>171</v>
      </c>
      <c r="E374" s="20" t="s">
        <v>97</v>
      </c>
      <c r="F374" s="21" t="s">
        <v>23</v>
      </c>
      <c r="G374" s="18" t="s">
        <v>32</v>
      </c>
      <c r="H374" s="18">
        <v>127.65</v>
      </c>
      <c r="I374" s="18">
        <v>130.69999999999999</v>
      </c>
      <c r="J374" s="18">
        <v>538</v>
      </c>
      <c r="K374" s="18">
        <v>68675.7</v>
      </c>
      <c r="L374" s="18">
        <v>70316.600000000006</v>
      </c>
      <c r="M374" s="22">
        <v>1640.9</v>
      </c>
      <c r="N374" s="22">
        <v>2.39</v>
      </c>
      <c r="O374" s="22" t="s">
        <v>25</v>
      </c>
      <c r="P374" s="18">
        <v>0.20169999999999999</v>
      </c>
      <c r="Q374" s="18">
        <v>1.44</v>
      </c>
    </row>
    <row r="375" spans="1:17" x14ac:dyDescent="0.35">
      <c r="A375" s="12" t="s">
        <v>745</v>
      </c>
      <c r="B375" s="12" t="s">
        <v>746</v>
      </c>
      <c r="C375" s="13" t="s">
        <v>36</v>
      </c>
      <c r="D375" s="12" t="s">
        <v>37</v>
      </c>
      <c r="E375" s="14" t="s">
        <v>30</v>
      </c>
      <c r="F375" s="15" t="s">
        <v>98</v>
      </c>
      <c r="G375" s="12" t="s">
        <v>24</v>
      </c>
      <c r="H375" s="12">
        <v>184.54</v>
      </c>
      <c r="I375" s="12">
        <v>213.15</v>
      </c>
      <c r="J375" s="12">
        <v>2045</v>
      </c>
      <c r="K375" s="12">
        <v>377384.3</v>
      </c>
      <c r="L375" s="12">
        <v>435891.75</v>
      </c>
      <c r="M375" s="17">
        <v>58507.45</v>
      </c>
      <c r="N375" s="17">
        <v>15.5</v>
      </c>
      <c r="O375" s="25" t="s">
        <v>45</v>
      </c>
      <c r="P375" s="12">
        <v>0.35639999999999999</v>
      </c>
      <c r="Q375" s="12">
        <v>1.19</v>
      </c>
    </row>
    <row r="376" spans="1:17" x14ac:dyDescent="0.35">
      <c r="A376" s="18" t="s">
        <v>747</v>
      </c>
      <c r="B376" s="18" t="s">
        <v>663</v>
      </c>
      <c r="C376" s="19" t="s">
        <v>103</v>
      </c>
      <c r="D376" s="18" t="s">
        <v>104</v>
      </c>
      <c r="E376" s="20" t="s">
        <v>22</v>
      </c>
      <c r="F376" s="21" t="s">
        <v>38</v>
      </c>
      <c r="G376" s="18" t="s">
        <v>32</v>
      </c>
      <c r="H376" s="18">
        <v>300.27999999999997</v>
      </c>
      <c r="I376" s="18">
        <v>403.4</v>
      </c>
      <c r="J376" s="18">
        <v>817</v>
      </c>
      <c r="K376" s="18">
        <v>245328.76</v>
      </c>
      <c r="L376" s="18">
        <v>329577.8</v>
      </c>
      <c r="M376" s="22">
        <v>84249.04</v>
      </c>
      <c r="N376" s="22">
        <v>34.340000000000003</v>
      </c>
      <c r="O376" s="23" t="s">
        <v>33</v>
      </c>
      <c r="P376" s="18">
        <v>0.37809999999999999</v>
      </c>
      <c r="Q376" s="18">
        <v>0.84</v>
      </c>
    </row>
    <row r="377" spans="1:17" x14ac:dyDescent="0.35">
      <c r="A377" s="12" t="s">
        <v>748</v>
      </c>
      <c r="B377" s="12" t="s">
        <v>749</v>
      </c>
      <c r="C377" s="13" t="s">
        <v>178</v>
      </c>
      <c r="D377" s="12" t="s">
        <v>179</v>
      </c>
      <c r="E377" s="14" t="s">
        <v>22</v>
      </c>
      <c r="F377" s="15" t="s">
        <v>98</v>
      </c>
      <c r="G377" s="12" t="s">
        <v>32</v>
      </c>
      <c r="H377" s="12">
        <v>173.61</v>
      </c>
      <c r="I377" s="12">
        <v>166.81</v>
      </c>
      <c r="J377" s="12">
        <v>771</v>
      </c>
      <c r="K377" s="12">
        <v>133853.31</v>
      </c>
      <c r="L377" s="12">
        <v>128610.51</v>
      </c>
      <c r="M377" s="16">
        <v>-5242.8</v>
      </c>
      <c r="N377" s="16">
        <v>-3.92</v>
      </c>
      <c r="O377" s="17" t="s">
        <v>25</v>
      </c>
      <c r="P377" s="12">
        <v>0.45750000000000002</v>
      </c>
      <c r="Q377" s="12">
        <v>1.17</v>
      </c>
    </row>
    <row r="378" spans="1:17" x14ac:dyDescent="0.35">
      <c r="A378" s="18" t="s">
        <v>750</v>
      </c>
      <c r="B378" s="18" t="s">
        <v>316</v>
      </c>
      <c r="C378" s="19" t="s">
        <v>83</v>
      </c>
      <c r="D378" s="18" t="s">
        <v>84</v>
      </c>
      <c r="E378" s="20" t="s">
        <v>55</v>
      </c>
      <c r="F378" s="21" t="s">
        <v>23</v>
      </c>
      <c r="G378" s="18" t="s">
        <v>32</v>
      </c>
      <c r="H378" s="18">
        <v>423.95</v>
      </c>
      <c r="I378" s="18">
        <v>482.7</v>
      </c>
      <c r="J378" s="18">
        <v>3139</v>
      </c>
      <c r="K378" s="18">
        <v>1330779.05</v>
      </c>
      <c r="L378" s="18">
        <v>1515195.3</v>
      </c>
      <c r="M378" s="22">
        <v>184416.25</v>
      </c>
      <c r="N378" s="22">
        <v>13.86</v>
      </c>
      <c r="O378" s="24" t="s">
        <v>45</v>
      </c>
      <c r="P378" s="18">
        <v>0.31169999999999998</v>
      </c>
      <c r="Q378" s="18">
        <v>0.92</v>
      </c>
    </row>
    <row r="379" spans="1:17" x14ac:dyDescent="0.35">
      <c r="A379" s="12" t="s">
        <v>751</v>
      </c>
      <c r="B379" s="12" t="s">
        <v>677</v>
      </c>
      <c r="C379" s="13" t="s">
        <v>119</v>
      </c>
      <c r="D379" s="12" t="s">
        <v>120</v>
      </c>
      <c r="E379" s="14" t="s">
        <v>44</v>
      </c>
      <c r="F379" s="15" t="s">
        <v>98</v>
      </c>
      <c r="G379" s="12" t="s">
        <v>39</v>
      </c>
      <c r="H379" s="12">
        <v>41.69</v>
      </c>
      <c r="I379" s="12">
        <v>40.270000000000003</v>
      </c>
      <c r="J379" s="12">
        <v>4722</v>
      </c>
      <c r="K379" s="12">
        <v>196860.18</v>
      </c>
      <c r="L379" s="12">
        <v>190154.94</v>
      </c>
      <c r="M379" s="16">
        <v>-6705.24</v>
      </c>
      <c r="N379" s="16">
        <v>-3.41</v>
      </c>
      <c r="O379" s="17" t="s">
        <v>25</v>
      </c>
      <c r="P379" s="12">
        <v>0.40699999999999997</v>
      </c>
      <c r="Q379" s="12">
        <v>0.7</v>
      </c>
    </row>
    <row r="380" spans="1:17" x14ac:dyDescent="0.35">
      <c r="A380" s="18" t="s">
        <v>752</v>
      </c>
      <c r="B380" s="18" t="s">
        <v>753</v>
      </c>
      <c r="C380" s="19" t="s">
        <v>48</v>
      </c>
      <c r="D380" s="18" t="s">
        <v>49</v>
      </c>
      <c r="E380" s="20" t="s">
        <v>50</v>
      </c>
      <c r="F380" s="21" t="s">
        <v>62</v>
      </c>
      <c r="G380" s="18" t="s">
        <v>32</v>
      </c>
      <c r="H380" s="18">
        <v>66.05</v>
      </c>
      <c r="I380" s="18">
        <v>97</v>
      </c>
      <c r="J380" s="18">
        <v>1963</v>
      </c>
      <c r="K380" s="18">
        <v>129656.15</v>
      </c>
      <c r="L380" s="18">
        <v>190411</v>
      </c>
      <c r="M380" s="22">
        <v>60754.85</v>
      </c>
      <c r="N380" s="22">
        <v>46.86</v>
      </c>
      <c r="O380" s="23" t="s">
        <v>33</v>
      </c>
      <c r="P380" s="18">
        <v>0.47189999999999999</v>
      </c>
      <c r="Q380" s="18">
        <v>1.1000000000000001</v>
      </c>
    </row>
    <row r="381" spans="1:17" x14ac:dyDescent="0.35">
      <c r="A381" s="12" t="s">
        <v>754</v>
      </c>
      <c r="B381" s="12" t="s">
        <v>755</v>
      </c>
      <c r="C381" s="13" t="s">
        <v>36</v>
      </c>
      <c r="D381" s="12" t="s">
        <v>37</v>
      </c>
      <c r="E381" s="14" t="s">
        <v>30</v>
      </c>
      <c r="F381" s="15" t="s">
        <v>62</v>
      </c>
      <c r="G381" s="12" t="s">
        <v>39</v>
      </c>
      <c r="H381" s="12">
        <v>208.5</v>
      </c>
      <c r="I381" s="12">
        <v>136.84</v>
      </c>
      <c r="J381" s="12">
        <v>2030</v>
      </c>
      <c r="K381" s="12">
        <v>423255</v>
      </c>
      <c r="L381" s="12">
        <v>277785.2</v>
      </c>
      <c r="M381" s="16">
        <v>-145469.79999999999</v>
      </c>
      <c r="N381" s="16">
        <v>-34.369999999999997</v>
      </c>
      <c r="O381" s="16" t="s">
        <v>33</v>
      </c>
      <c r="P381" s="12">
        <v>0.50819999999999999</v>
      </c>
      <c r="Q381" s="12">
        <v>1.46</v>
      </c>
    </row>
    <row r="382" spans="1:17" x14ac:dyDescent="0.35">
      <c r="A382" s="18" t="s">
        <v>756</v>
      </c>
      <c r="B382" s="18" t="s">
        <v>106</v>
      </c>
      <c r="C382" s="19" t="s">
        <v>72</v>
      </c>
      <c r="D382" s="18" t="s">
        <v>73</v>
      </c>
      <c r="E382" s="20" t="s">
        <v>74</v>
      </c>
      <c r="F382" s="21" t="s">
        <v>31</v>
      </c>
      <c r="G382" s="18" t="s">
        <v>32</v>
      </c>
      <c r="H382" s="18">
        <v>405.84</v>
      </c>
      <c r="I382" s="18">
        <v>636.79</v>
      </c>
      <c r="J382" s="18">
        <v>3778</v>
      </c>
      <c r="K382" s="18">
        <v>1533263.52</v>
      </c>
      <c r="L382" s="18">
        <v>2405792.62</v>
      </c>
      <c r="M382" s="22">
        <v>872529.1</v>
      </c>
      <c r="N382" s="22">
        <v>56.91</v>
      </c>
      <c r="O382" s="23" t="s">
        <v>33</v>
      </c>
      <c r="P382" s="18">
        <v>0.53800000000000003</v>
      </c>
      <c r="Q382" s="18">
        <v>1.57</v>
      </c>
    </row>
    <row r="383" spans="1:17" x14ac:dyDescent="0.35">
      <c r="A383" s="12" t="s">
        <v>757</v>
      </c>
      <c r="B383" s="12" t="s">
        <v>758</v>
      </c>
      <c r="C383" s="13" t="s">
        <v>87</v>
      </c>
      <c r="D383" s="12" t="s">
        <v>88</v>
      </c>
      <c r="E383" s="14" t="s">
        <v>22</v>
      </c>
      <c r="F383" s="15" t="s">
        <v>31</v>
      </c>
      <c r="G383" s="12" t="s">
        <v>32</v>
      </c>
      <c r="H383" s="12">
        <v>318.7</v>
      </c>
      <c r="I383" s="12">
        <v>463.96</v>
      </c>
      <c r="J383" s="12">
        <v>3666</v>
      </c>
      <c r="K383" s="12">
        <v>1168354.2</v>
      </c>
      <c r="L383" s="12">
        <v>1700877.36</v>
      </c>
      <c r="M383" s="17">
        <v>532523.16</v>
      </c>
      <c r="N383" s="17">
        <v>45.58</v>
      </c>
      <c r="O383" s="16" t="s">
        <v>33</v>
      </c>
      <c r="P383" s="12">
        <v>0.18360000000000001</v>
      </c>
      <c r="Q383" s="12">
        <v>1.31</v>
      </c>
    </row>
    <row r="384" spans="1:17" x14ac:dyDescent="0.35">
      <c r="A384" s="18" t="s">
        <v>759</v>
      </c>
      <c r="B384" s="18" t="s">
        <v>760</v>
      </c>
      <c r="C384" s="19" t="s">
        <v>215</v>
      </c>
      <c r="D384" s="18" t="s">
        <v>216</v>
      </c>
      <c r="E384" s="20" t="s">
        <v>50</v>
      </c>
      <c r="F384" s="21" t="s">
        <v>38</v>
      </c>
      <c r="G384" s="18" t="s">
        <v>32</v>
      </c>
      <c r="H384" s="18">
        <v>155.07</v>
      </c>
      <c r="I384" s="18">
        <v>171.86</v>
      </c>
      <c r="J384" s="18">
        <v>4657</v>
      </c>
      <c r="K384" s="18">
        <v>722160.99</v>
      </c>
      <c r="L384" s="18">
        <v>800352.02</v>
      </c>
      <c r="M384" s="22">
        <v>78191.03</v>
      </c>
      <c r="N384" s="22">
        <v>10.83</v>
      </c>
      <c r="O384" s="24" t="s">
        <v>45</v>
      </c>
      <c r="P384" s="18">
        <v>0.23880000000000001</v>
      </c>
      <c r="Q384" s="18">
        <v>1.1499999999999999</v>
      </c>
    </row>
    <row r="385" spans="1:17" x14ac:dyDescent="0.35">
      <c r="A385" s="12" t="s">
        <v>761</v>
      </c>
      <c r="B385" s="12" t="s">
        <v>762</v>
      </c>
      <c r="C385" s="13" t="s">
        <v>178</v>
      </c>
      <c r="D385" s="12" t="s">
        <v>179</v>
      </c>
      <c r="E385" s="14" t="s">
        <v>22</v>
      </c>
      <c r="F385" s="15" t="s">
        <v>31</v>
      </c>
      <c r="G385" s="12" t="s">
        <v>32</v>
      </c>
      <c r="H385" s="12">
        <v>156.61000000000001</v>
      </c>
      <c r="I385" s="12">
        <v>199.93</v>
      </c>
      <c r="J385" s="12">
        <v>3495</v>
      </c>
      <c r="K385" s="12">
        <v>547351.94999999995</v>
      </c>
      <c r="L385" s="12">
        <v>698755.35</v>
      </c>
      <c r="M385" s="17">
        <v>151403.4</v>
      </c>
      <c r="N385" s="17">
        <v>27.66</v>
      </c>
      <c r="O385" s="16" t="s">
        <v>33</v>
      </c>
      <c r="P385" s="12">
        <v>0.37059999999999998</v>
      </c>
      <c r="Q385" s="12">
        <v>1.76</v>
      </c>
    </row>
    <row r="386" spans="1:17" x14ac:dyDescent="0.35">
      <c r="A386" s="18" t="s">
        <v>763</v>
      </c>
      <c r="B386" s="18" t="s">
        <v>697</v>
      </c>
      <c r="C386" s="19" t="s">
        <v>20</v>
      </c>
      <c r="D386" s="18" t="s">
        <v>21</v>
      </c>
      <c r="E386" s="20" t="s">
        <v>22</v>
      </c>
      <c r="F386" s="21" t="s">
        <v>98</v>
      </c>
      <c r="G386" s="18" t="s">
        <v>32</v>
      </c>
      <c r="H386" s="18">
        <v>668.42</v>
      </c>
      <c r="I386" s="18">
        <v>998.97</v>
      </c>
      <c r="J386" s="18">
        <v>4487</v>
      </c>
      <c r="K386" s="18">
        <v>2999200.54</v>
      </c>
      <c r="L386" s="18">
        <v>4482378.3899999997</v>
      </c>
      <c r="M386" s="22">
        <v>1483177.85</v>
      </c>
      <c r="N386" s="22">
        <v>49.45</v>
      </c>
      <c r="O386" s="23" t="s">
        <v>33</v>
      </c>
      <c r="P386" s="18">
        <v>0.2336</v>
      </c>
      <c r="Q386" s="18">
        <v>1.39</v>
      </c>
    </row>
    <row r="387" spans="1:17" x14ac:dyDescent="0.35">
      <c r="A387" s="12" t="s">
        <v>764</v>
      </c>
      <c r="B387" s="12" t="s">
        <v>59</v>
      </c>
      <c r="C387" s="13" t="s">
        <v>28</v>
      </c>
      <c r="D387" s="12" t="s">
        <v>29</v>
      </c>
      <c r="E387" s="14" t="s">
        <v>30</v>
      </c>
      <c r="F387" s="15" t="s">
        <v>31</v>
      </c>
      <c r="G387" s="12" t="s">
        <v>39</v>
      </c>
      <c r="H387" s="12">
        <v>223.83</v>
      </c>
      <c r="I387" s="12">
        <v>153.59</v>
      </c>
      <c r="J387" s="12">
        <v>1510</v>
      </c>
      <c r="K387" s="12">
        <v>337983.3</v>
      </c>
      <c r="L387" s="12">
        <v>231920.9</v>
      </c>
      <c r="M387" s="16">
        <v>-106062.39999999999</v>
      </c>
      <c r="N387" s="16">
        <v>-31.38</v>
      </c>
      <c r="O387" s="16" t="s">
        <v>33</v>
      </c>
      <c r="P387" s="12">
        <v>0.38169999999999998</v>
      </c>
      <c r="Q387" s="12">
        <v>1.43</v>
      </c>
    </row>
    <row r="388" spans="1:17" x14ac:dyDescent="0.35">
      <c r="A388" s="18" t="s">
        <v>765</v>
      </c>
      <c r="B388" s="18" t="s">
        <v>766</v>
      </c>
      <c r="C388" s="19" t="s">
        <v>103</v>
      </c>
      <c r="D388" s="18" t="s">
        <v>104</v>
      </c>
      <c r="E388" s="20" t="s">
        <v>22</v>
      </c>
      <c r="F388" s="21" t="s">
        <v>23</v>
      </c>
      <c r="G388" s="18" t="s">
        <v>65</v>
      </c>
      <c r="H388" s="18">
        <v>343.59</v>
      </c>
      <c r="I388" s="18">
        <v>523.83000000000004</v>
      </c>
      <c r="J388" s="18">
        <v>503</v>
      </c>
      <c r="K388" s="18">
        <v>172825.77</v>
      </c>
      <c r="L388" s="18">
        <v>263486.49</v>
      </c>
      <c r="M388" s="22">
        <v>90660.72</v>
      </c>
      <c r="N388" s="22">
        <v>52.46</v>
      </c>
      <c r="O388" s="23" t="s">
        <v>33</v>
      </c>
      <c r="P388" s="18">
        <v>0.50570000000000004</v>
      </c>
      <c r="Q388" s="18">
        <v>0.62</v>
      </c>
    </row>
    <row r="389" spans="1:17" x14ac:dyDescent="0.35">
      <c r="A389" s="12" t="s">
        <v>767</v>
      </c>
      <c r="B389" s="12" t="s">
        <v>768</v>
      </c>
      <c r="C389" s="13" t="s">
        <v>137</v>
      </c>
      <c r="D389" s="12" t="s">
        <v>138</v>
      </c>
      <c r="E389" s="14" t="s">
        <v>50</v>
      </c>
      <c r="F389" s="15" t="s">
        <v>38</v>
      </c>
      <c r="G389" s="12" t="s">
        <v>24</v>
      </c>
      <c r="H389" s="12">
        <v>119.88</v>
      </c>
      <c r="I389" s="12">
        <v>124.62</v>
      </c>
      <c r="J389" s="12">
        <v>904</v>
      </c>
      <c r="K389" s="12">
        <v>108371.52</v>
      </c>
      <c r="L389" s="12">
        <v>112656.48</v>
      </c>
      <c r="M389" s="17">
        <v>4284.96</v>
      </c>
      <c r="N389" s="17">
        <v>3.95</v>
      </c>
      <c r="O389" s="17" t="s">
        <v>25</v>
      </c>
      <c r="P389" s="12">
        <v>0.2492</v>
      </c>
      <c r="Q389" s="12">
        <v>1.49</v>
      </c>
    </row>
    <row r="390" spans="1:17" x14ac:dyDescent="0.35">
      <c r="A390" s="18" t="s">
        <v>769</v>
      </c>
      <c r="B390" s="18" t="s">
        <v>770</v>
      </c>
      <c r="C390" s="19" t="s">
        <v>215</v>
      </c>
      <c r="D390" s="18" t="s">
        <v>216</v>
      </c>
      <c r="E390" s="20" t="s">
        <v>50</v>
      </c>
      <c r="F390" s="21" t="s">
        <v>62</v>
      </c>
      <c r="G390" s="18" t="s">
        <v>32</v>
      </c>
      <c r="H390" s="18">
        <v>145.02000000000001</v>
      </c>
      <c r="I390" s="18">
        <v>149.08000000000001</v>
      </c>
      <c r="J390" s="18">
        <v>831</v>
      </c>
      <c r="K390" s="18">
        <v>120511.62</v>
      </c>
      <c r="L390" s="18">
        <v>123885.48</v>
      </c>
      <c r="M390" s="22">
        <v>3373.86</v>
      </c>
      <c r="N390" s="22">
        <v>2.8</v>
      </c>
      <c r="O390" s="22" t="s">
        <v>25</v>
      </c>
      <c r="P390" s="18">
        <v>0.4743</v>
      </c>
      <c r="Q390" s="18">
        <v>1.49</v>
      </c>
    </row>
    <row r="391" spans="1:17" x14ac:dyDescent="0.35">
      <c r="A391" s="12" t="s">
        <v>771</v>
      </c>
      <c r="B391" s="12" t="s">
        <v>86</v>
      </c>
      <c r="C391" s="13" t="s">
        <v>72</v>
      </c>
      <c r="D391" s="12" t="s">
        <v>73</v>
      </c>
      <c r="E391" s="14" t="s">
        <v>74</v>
      </c>
      <c r="F391" s="15" t="s">
        <v>62</v>
      </c>
      <c r="G391" s="12" t="s">
        <v>32</v>
      </c>
      <c r="H391" s="12">
        <v>391.36</v>
      </c>
      <c r="I391" s="12">
        <v>538.78</v>
      </c>
      <c r="J391" s="12">
        <v>1402</v>
      </c>
      <c r="K391" s="12">
        <v>548686.72</v>
      </c>
      <c r="L391" s="12">
        <v>755369.56</v>
      </c>
      <c r="M391" s="17">
        <v>206682.84</v>
      </c>
      <c r="N391" s="17">
        <v>37.67</v>
      </c>
      <c r="O391" s="16" t="s">
        <v>33</v>
      </c>
      <c r="P391" s="12">
        <v>0.29349999999999998</v>
      </c>
      <c r="Q391" s="12">
        <v>1.54</v>
      </c>
    </row>
    <row r="392" spans="1:17" x14ac:dyDescent="0.35">
      <c r="A392" s="18" t="s">
        <v>772</v>
      </c>
      <c r="B392" s="18" t="s">
        <v>240</v>
      </c>
      <c r="C392" s="19" t="s">
        <v>72</v>
      </c>
      <c r="D392" s="18" t="s">
        <v>73</v>
      </c>
      <c r="E392" s="20" t="s">
        <v>74</v>
      </c>
      <c r="F392" s="21" t="s">
        <v>23</v>
      </c>
      <c r="G392" s="18" t="s">
        <v>32</v>
      </c>
      <c r="H392" s="18">
        <v>500.65</v>
      </c>
      <c r="I392" s="18">
        <v>510.92</v>
      </c>
      <c r="J392" s="18">
        <v>1679</v>
      </c>
      <c r="K392" s="18">
        <v>840591.35</v>
      </c>
      <c r="L392" s="18">
        <v>857834.68</v>
      </c>
      <c r="M392" s="22">
        <v>17243.330000000002</v>
      </c>
      <c r="N392" s="22">
        <v>2.0499999999999998</v>
      </c>
      <c r="O392" s="22" t="s">
        <v>25</v>
      </c>
      <c r="P392" s="18">
        <v>0.14480000000000001</v>
      </c>
      <c r="Q392" s="18">
        <v>0.64</v>
      </c>
    </row>
    <row r="393" spans="1:17" x14ac:dyDescent="0.35">
      <c r="A393" s="12" t="s">
        <v>773</v>
      </c>
      <c r="B393" s="12" t="s">
        <v>663</v>
      </c>
      <c r="C393" s="13" t="s">
        <v>103</v>
      </c>
      <c r="D393" s="12" t="s">
        <v>104</v>
      </c>
      <c r="E393" s="14" t="s">
        <v>22</v>
      </c>
      <c r="F393" s="15" t="s">
        <v>98</v>
      </c>
      <c r="G393" s="12" t="s">
        <v>39</v>
      </c>
      <c r="H393" s="12">
        <v>351.06</v>
      </c>
      <c r="I393" s="12">
        <v>299.23</v>
      </c>
      <c r="J393" s="12">
        <v>3117</v>
      </c>
      <c r="K393" s="12">
        <v>1094254.02</v>
      </c>
      <c r="L393" s="12">
        <v>932699.91</v>
      </c>
      <c r="M393" s="16">
        <v>-161554.10999999999</v>
      </c>
      <c r="N393" s="16">
        <v>-14.76</v>
      </c>
      <c r="O393" s="25" t="s">
        <v>45</v>
      </c>
      <c r="P393" s="12">
        <v>0.39319999999999999</v>
      </c>
      <c r="Q393" s="12">
        <v>0.75</v>
      </c>
    </row>
    <row r="394" spans="1:17" x14ac:dyDescent="0.35">
      <c r="A394" s="18" t="s">
        <v>774</v>
      </c>
      <c r="B394" s="18" t="s">
        <v>775</v>
      </c>
      <c r="C394" s="19" t="s">
        <v>178</v>
      </c>
      <c r="D394" s="18" t="s">
        <v>179</v>
      </c>
      <c r="E394" s="20" t="s">
        <v>22</v>
      </c>
      <c r="F394" s="21" t="s">
        <v>38</v>
      </c>
      <c r="G394" s="18" t="s">
        <v>65</v>
      </c>
      <c r="H394" s="18">
        <v>172.17</v>
      </c>
      <c r="I394" s="18">
        <v>267.27</v>
      </c>
      <c r="J394" s="18">
        <v>4966</v>
      </c>
      <c r="K394" s="18">
        <v>854996.22</v>
      </c>
      <c r="L394" s="18">
        <v>1327262.82</v>
      </c>
      <c r="M394" s="22">
        <v>472266.6</v>
      </c>
      <c r="N394" s="22">
        <v>55.24</v>
      </c>
      <c r="O394" s="23" t="s">
        <v>33</v>
      </c>
      <c r="P394" s="18">
        <v>0.3241</v>
      </c>
      <c r="Q394" s="18">
        <v>1.26</v>
      </c>
    </row>
    <row r="395" spans="1:17" x14ac:dyDescent="0.35">
      <c r="A395" s="12" t="s">
        <v>776</v>
      </c>
      <c r="B395" s="12" t="s">
        <v>204</v>
      </c>
      <c r="C395" s="13" t="s">
        <v>48</v>
      </c>
      <c r="D395" s="12" t="s">
        <v>49</v>
      </c>
      <c r="E395" s="14" t="s">
        <v>50</v>
      </c>
      <c r="F395" s="15" t="s">
        <v>31</v>
      </c>
      <c r="G395" s="12" t="s">
        <v>24</v>
      </c>
      <c r="H395" s="12">
        <v>55.79</v>
      </c>
      <c r="I395" s="12">
        <v>51.03</v>
      </c>
      <c r="J395" s="12">
        <v>2435</v>
      </c>
      <c r="K395" s="12">
        <v>135848.65</v>
      </c>
      <c r="L395" s="12">
        <v>124258.05</v>
      </c>
      <c r="M395" s="16">
        <v>-11590.6</v>
      </c>
      <c r="N395" s="16">
        <v>-8.5299999999999994</v>
      </c>
      <c r="O395" s="25" t="s">
        <v>45</v>
      </c>
      <c r="P395" s="12">
        <v>0.48709999999999998</v>
      </c>
      <c r="Q395" s="12">
        <v>1.54</v>
      </c>
    </row>
    <row r="396" spans="1:17" x14ac:dyDescent="0.35">
      <c r="A396" s="18" t="s">
        <v>777</v>
      </c>
      <c r="B396" s="18" t="s">
        <v>364</v>
      </c>
      <c r="C396" s="19" t="s">
        <v>95</v>
      </c>
      <c r="D396" s="18" t="s">
        <v>96</v>
      </c>
      <c r="E396" s="20" t="s">
        <v>97</v>
      </c>
      <c r="F396" s="21" t="s">
        <v>23</v>
      </c>
      <c r="G396" s="18" t="s">
        <v>39</v>
      </c>
      <c r="H396" s="18">
        <v>230</v>
      </c>
      <c r="I396" s="18">
        <v>196.91</v>
      </c>
      <c r="J396" s="18">
        <v>2304</v>
      </c>
      <c r="K396" s="18">
        <v>529920</v>
      </c>
      <c r="L396" s="18">
        <v>453680.64000000001</v>
      </c>
      <c r="M396" s="23">
        <v>-76239.360000000001</v>
      </c>
      <c r="N396" s="23">
        <v>-14.39</v>
      </c>
      <c r="O396" s="24" t="s">
        <v>45</v>
      </c>
      <c r="P396" s="18">
        <v>0.49180000000000001</v>
      </c>
      <c r="Q396" s="18">
        <v>1.76</v>
      </c>
    </row>
    <row r="397" spans="1:17" x14ac:dyDescent="0.35">
      <c r="A397" s="12" t="s">
        <v>778</v>
      </c>
      <c r="B397" s="12" t="s">
        <v>779</v>
      </c>
      <c r="C397" s="13" t="s">
        <v>178</v>
      </c>
      <c r="D397" s="12" t="s">
        <v>179</v>
      </c>
      <c r="E397" s="14" t="s">
        <v>22</v>
      </c>
      <c r="F397" s="15" t="s">
        <v>23</v>
      </c>
      <c r="G397" s="12" t="s">
        <v>32</v>
      </c>
      <c r="H397" s="12">
        <v>160.5</v>
      </c>
      <c r="I397" s="12">
        <v>209.59</v>
      </c>
      <c r="J397" s="12">
        <v>169</v>
      </c>
      <c r="K397" s="12">
        <v>27124.5</v>
      </c>
      <c r="L397" s="12">
        <v>35420.71</v>
      </c>
      <c r="M397" s="17">
        <v>8296.2099999999991</v>
      </c>
      <c r="N397" s="17">
        <v>30.59</v>
      </c>
      <c r="O397" s="16" t="s">
        <v>33</v>
      </c>
      <c r="P397" s="12">
        <v>0.52549999999999997</v>
      </c>
      <c r="Q397" s="12">
        <v>1.46</v>
      </c>
    </row>
    <row r="398" spans="1:17" x14ac:dyDescent="0.35">
      <c r="A398" s="18" t="s">
        <v>780</v>
      </c>
      <c r="B398" s="18" t="s">
        <v>520</v>
      </c>
      <c r="C398" s="19" t="s">
        <v>83</v>
      </c>
      <c r="D398" s="18" t="s">
        <v>84</v>
      </c>
      <c r="E398" s="20" t="s">
        <v>55</v>
      </c>
      <c r="F398" s="21" t="s">
        <v>98</v>
      </c>
      <c r="G398" s="18" t="s">
        <v>32</v>
      </c>
      <c r="H398" s="18">
        <v>351.73</v>
      </c>
      <c r="I398" s="18">
        <v>424.43</v>
      </c>
      <c r="J398" s="18">
        <v>3860</v>
      </c>
      <c r="K398" s="18">
        <v>1357677.8</v>
      </c>
      <c r="L398" s="18">
        <v>1638299.8</v>
      </c>
      <c r="M398" s="22">
        <v>280622</v>
      </c>
      <c r="N398" s="22">
        <v>20.67</v>
      </c>
      <c r="O398" s="24" t="s">
        <v>45</v>
      </c>
      <c r="P398" s="18">
        <v>0.41120000000000001</v>
      </c>
      <c r="Q398" s="18">
        <v>1.59</v>
      </c>
    </row>
    <row r="399" spans="1:17" x14ac:dyDescent="0.35">
      <c r="A399" s="12" t="s">
        <v>781</v>
      </c>
      <c r="B399" s="12" t="s">
        <v>782</v>
      </c>
      <c r="C399" s="13" t="s">
        <v>77</v>
      </c>
      <c r="D399" s="12" t="s">
        <v>78</v>
      </c>
      <c r="E399" s="14" t="s">
        <v>44</v>
      </c>
      <c r="F399" s="15" t="s">
        <v>31</v>
      </c>
      <c r="G399" s="12" t="s">
        <v>32</v>
      </c>
      <c r="H399" s="12">
        <v>189.72</v>
      </c>
      <c r="I399" s="12">
        <v>295.31</v>
      </c>
      <c r="J399" s="12">
        <v>4290</v>
      </c>
      <c r="K399" s="12">
        <v>813898.8</v>
      </c>
      <c r="L399" s="12">
        <v>1266879.8999999999</v>
      </c>
      <c r="M399" s="17">
        <v>452981.1</v>
      </c>
      <c r="N399" s="17">
        <v>55.66</v>
      </c>
      <c r="O399" s="16" t="s">
        <v>33</v>
      </c>
      <c r="P399" s="12">
        <v>0.48089999999999999</v>
      </c>
      <c r="Q399" s="12">
        <v>1.27</v>
      </c>
    </row>
    <row r="400" spans="1:17" x14ac:dyDescent="0.35">
      <c r="A400" s="18" t="s">
        <v>783</v>
      </c>
      <c r="B400" s="18" t="s">
        <v>59</v>
      </c>
      <c r="C400" s="19" t="s">
        <v>53</v>
      </c>
      <c r="D400" s="18" t="s">
        <v>54</v>
      </c>
      <c r="E400" s="20" t="s">
        <v>55</v>
      </c>
      <c r="F400" s="21" t="s">
        <v>98</v>
      </c>
      <c r="G400" s="18" t="s">
        <v>24</v>
      </c>
      <c r="H400" s="18">
        <v>89.51</v>
      </c>
      <c r="I400" s="18">
        <v>99.84</v>
      </c>
      <c r="J400" s="18">
        <v>985</v>
      </c>
      <c r="K400" s="18">
        <v>88167.35</v>
      </c>
      <c r="L400" s="18">
        <v>98342.399999999994</v>
      </c>
      <c r="M400" s="22">
        <v>10175.049999999999</v>
      </c>
      <c r="N400" s="22">
        <v>11.54</v>
      </c>
      <c r="O400" s="24" t="s">
        <v>45</v>
      </c>
      <c r="P400" s="18">
        <v>0.2389</v>
      </c>
      <c r="Q400" s="18">
        <v>0.99</v>
      </c>
    </row>
    <row r="401" spans="1:17" x14ac:dyDescent="0.35">
      <c r="A401" s="12" t="s">
        <v>784</v>
      </c>
      <c r="B401" s="12" t="s">
        <v>785</v>
      </c>
      <c r="C401" s="13" t="s">
        <v>83</v>
      </c>
      <c r="D401" s="12" t="s">
        <v>84</v>
      </c>
      <c r="E401" s="14" t="s">
        <v>55</v>
      </c>
      <c r="F401" s="15" t="s">
        <v>23</v>
      </c>
      <c r="G401" s="12" t="s">
        <v>24</v>
      </c>
      <c r="H401" s="12">
        <v>381.97</v>
      </c>
      <c r="I401" s="12">
        <v>400.39</v>
      </c>
      <c r="J401" s="12">
        <v>1328</v>
      </c>
      <c r="K401" s="12">
        <v>507256.16</v>
      </c>
      <c r="L401" s="12">
        <v>531717.92000000004</v>
      </c>
      <c r="M401" s="17">
        <v>24461.759999999998</v>
      </c>
      <c r="N401" s="17">
        <v>4.82</v>
      </c>
      <c r="O401" s="17" t="s">
        <v>25</v>
      </c>
      <c r="P401" s="12">
        <v>0.1444</v>
      </c>
      <c r="Q401" s="12">
        <v>1.63</v>
      </c>
    </row>
    <row r="402" spans="1:17" x14ac:dyDescent="0.35">
      <c r="A402" s="18" t="s">
        <v>786</v>
      </c>
      <c r="B402" s="18" t="s">
        <v>787</v>
      </c>
      <c r="C402" s="19" t="s">
        <v>53</v>
      </c>
      <c r="D402" s="18" t="s">
        <v>54</v>
      </c>
      <c r="E402" s="20" t="s">
        <v>55</v>
      </c>
      <c r="F402" s="21" t="s">
        <v>23</v>
      </c>
      <c r="G402" s="18" t="s">
        <v>65</v>
      </c>
      <c r="H402" s="18">
        <v>94.2</v>
      </c>
      <c r="I402" s="18">
        <v>148.66999999999999</v>
      </c>
      <c r="J402" s="18">
        <v>308</v>
      </c>
      <c r="K402" s="18">
        <v>29013.599999999999</v>
      </c>
      <c r="L402" s="18">
        <v>45790.36</v>
      </c>
      <c r="M402" s="22">
        <v>16776.759999999998</v>
      </c>
      <c r="N402" s="22">
        <v>57.82</v>
      </c>
      <c r="O402" s="23" t="s">
        <v>33</v>
      </c>
      <c r="P402" s="18">
        <v>0.2316</v>
      </c>
      <c r="Q402" s="18">
        <v>1.1000000000000001</v>
      </c>
    </row>
    <row r="403" spans="1:17" x14ac:dyDescent="0.35">
      <c r="A403" s="12" t="s">
        <v>788</v>
      </c>
      <c r="B403" s="12" t="s">
        <v>789</v>
      </c>
      <c r="C403" s="13" t="s">
        <v>77</v>
      </c>
      <c r="D403" s="12" t="s">
        <v>78</v>
      </c>
      <c r="E403" s="14" t="s">
        <v>44</v>
      </c>
      <c r="F403" s="15" t="s">
        <v>98</v>
      </c>
      <c r="G403" s="12" t="s">
        <v>39</v>
      </c>
      <c r="H403" s="12">
        <v>174.22</v>
      </c>
      <c r="I403" s="12">
        <v>159.16999999999999</v>
      </c>
      <c r="J403" s="12">
        <v>1921</v>
      </c>
      <c r="K403" s="12">
        <v>334676.62</v>
      </c>
      <c r="L403" s="12">
        <v>305765.57</v>
      </c>
      <c r="M403" s="16">
        <v>-28911.05</v>
      </c>
      <c r="N403" s="16">
        <v>-8.64</v>
      </c>
      <c r="O403" s="25" t="s">
        <v>45</v>
      </c>
      <c r="P403" s="12">
        <v>0.3246</v>
      </c>
      <c r="Q403" s="12">
        <v>1.73</v>
      </c>
    </row>
    <row r="404" spans="1:17" x14ac:dyDescent="0.35">
      <c r="A404" s="18" t="s">
        <v>790</v>
      </c>
      <c r="B404" s="18" t="s">
        <v>472</v>
      </c>
      <c r="C404" s="19" t="s">
        <v>48</v>
      </c>
      <c r="D404" s="18" t="s">
        <v>49</v>
      </c>
      <c r="E404" s="20" t="s">
        <v>50</v>
      </c>
      <c r="F404" s="21" t="s">
        <v>23</v>
      </c>
      <c r="G404" s="18" t="s">
        <v>24</v>
      </c>
      <c r="H404" s="18">
        <v>58.78</v>
      </c>
      <c r="I404" s="18">
        <v>55.74</v>
      </c>
      <c r="J404" s="18">
        <v>4673</v>
      </c>
      <c r="K404" s="18">
        <v>274678.94</v>
      </c>
      <c r="L404" s="18">
        <v>260473.02</v>
      </c>
      <c r="M404" s="23">
        <v>-14205.92</v>
      </c>
      <c r="N404" s="23">
        <v>-5.17</v>
      </c>
      <c r="O404" s="22" t="s">
        <v>25</v>
      </c>
      <c r="P404" s="18">
        <v>0.17499999999999999</v>
      </c>
      <c r="Q404" s="18">
        <v>0.91</v>
      </c>
    </row>
    <row r="405" spans="1:17" x14ac:dyDescent="0.35">
      <c r="A405" s="12" t="s">
        <v>791</v>
      </c>
      <c r="B405" s="12" t="s">
        <v>792</v>
      </c>
      <c r="C405" s="13" t="s">
        <v>36</v>
      </c>
      <c r="D405" s="12" t="s">
        <v>37</v>
      </c>
      <c r="E405" s="14" t="s">
        <v>30</v>
      </c>
      <c r="F405" s="15" t="s">
        <v>31</v>
      </c>
      <c r="G405" s="12" t="s">
        <v>65</v>
      </c>
      <c r="H405" s="12">
        <v>200.88</v>
      </c>
      <c r="I405" s="12">
        <v>281.42</v>
      </c>
      <c r="J405" s="12">
        <v>1920</v>
      </c>
      <c r="K405" s="12">
        <v>385689.59999999998</v>
      </c>
      <c r="L405" s="12">
        <v>540326.40000000002</v>
      </c>
      <c r="M405" s="17">
        <v>154636.79999999999</v>
      </c>
      <c r="N405" s="17">
        <v>40.090000000000003</v>
      </c>
      <c r="O405" s="16" t="s">
        <v>33</v>
      </c>
      <c r="P405" s="12">
        <v>0.252</v>
      </c>
      <c r="Q405" s="12">
        <v>1.55</v>
      </c>
    </row>
    <row r="406" spans="1:17" x14ac:dyDescent="0.35">
      <c r="A406" s="18" t="s">
        <v>793</v>
      </c>
      <c r="B406" s="18" t="s">
        <v>650</v>
      </c>
      <c r="C406" s="19" t="s">
        <v>215</v>
      </c>
      <c r="D406" s="18" t="s">
        <v>216</v>
      </c>
      <c r="E406" s="20" t="s">
        <v>50</v>
      </c>
      <c r="F406" s="21" t="s">
        <v>62</v>
      </c>
      <c r="G406" s="18" t="s">
        <v>24</v>
      </c>
      <c r="H406" s="18">
        <v>158.26</v>
      </c>
      <c r="I406" s="18">
        <v>152.32</v>
      </c>
      <c r="J406" s="18">
        <v>2508</v>
      </c>
      <c r="K406" s="18">
        <v>396916.08</v>
      </c>
      <c r="L406" s="18">
        <v>382018.56</v>
      </c>
      <c r="M406" s="23">
        <v>-14897.52</v>
      </c>
      <c r="N406" s="23">
        <v>-3.75</v>
      </c>
      <c r="O406" s="22" t="s">
        <v>25</v>
      </c>
      <c r="P406" s="18">
        <v>0.1431</v>
      </c>
      <c r="Q406" s="18">
        <v>1.36</v>
      </c>
    </row>
    <row r="407" spans="1:17" x14ac:dyDescent="0.35">
      <c r="A407" s="12" t="s">
        <v>794</v>
      </c>
      <c r="B407" s="12" t="s">
        <v>795</v>
      </c>
      <c r="C407" s="13" t="s">
        <v>28</v>
      </c>
      <c r="D407" s="12" t="s">
        <v>29</v>
      </c>
      <c r="E407" s="14" t="s">
        <v>30</v>
      </c>
      <c r="F407" s="15" t="s">
        <v>38</v>
      </c>
      <c r="G407" s="12" t="s">
        <v>32</v>
      </c>
      <c r="H407" s="12">
        <v>240.03</v>
      </c>
      <c r="I407" s="12">
        <v>356.98</v>
      </c>
      <c r="J407" s="12">
        <v>1693</v>
      </c>
      <c r="K407" s="12">
        <v>406370.79</v>
      </c>
      <c r="L407" s="12">
        <v>604367.14</v>
      </c>
      <c r="M407" s="17">
        <v>197996.35</v>
      </c>
      <c r="N407" s="17">
        <v>48.72</v>
      </c>
      <c r="O407" s="16" t="s">
        <v>33</v>
      </c>
      <c r="P407" s="12">
        <v>0.28410000000000002</v>
      </c>
      <c r="Q407" s="12">
        <v>0.96</v>
      </c>
    </row>
    <row r="408" spans="1:17" x14ac:dyDescent="0.35">
      <c r="A408" s="18" t="s">
        <v>796</v>
      </c>
      <c r="B408" s="18" t="s">
        <v>797</v>
      </c>
      <c r="C408" s="19" t="s">
        <v>103</v>
      </c>
      <c r="D408" s="18" t="s">
        <v>104</v>
      </c>
      <c r="E408" s="20" t="s">
        <v>22</v>
      </c>
      <c r="F408" s="21" t="s">
        <v>23</v>
      </c>
      <c r="G408" s="18" t="s">
        <v>32</v>
      </c>
      <c r="H408" s="18">
        <v>311.27999999999997</v>
      </c>
      <c r="I408" s="18">
        <v>398</v>
      </c>
      <c r="J408" s="18">
        <v>2907</v>
      </c>
      <c r="K408" s="18">
        <v>904890.96</v>
      </c>
      <c r="L408" s="18">
        <v>1156986</v>
      </c>
      <c r="M408" s="22">
        <v>252095.04</v>
      </c>
      <c r="N408" s="22">
        <v>27.86</v>
      </c>
      <c r="O408" s="23" t="s">
        <v>33</v>
      </c>
      <c r="P408" s="18">
        <v>0.50980000000000003</v>
      </c>
      <c r="Q408" s="18">
        <v>1.1499999999999999</v>
      </c>
    </row>
    <row r="409" spans="1:17" x14ac:dyDescent="0.35">
      <c r="A409" s="12" t="s">
        <v>798</v>
      </c>
      <c r="B409" s="12" t="s">
        <v>799</v>
      </c>
      <c r="C409" s="13" t="s">
        <v>215</v>
      </c>
      <c r="D409" s="12" t="s">
        <v>216</v>
      </c>
      <c r="E409" s="14" t="s">
        <v>50</v>
      </c>
      <c r="F409" s="15" t="s">
        <v>38</v>
      </c>
      <c r="G409" s="12" t="s">
        <v>32</v>
      </c>
      <c r="H409" s="12">
        <v>166.29</v>
      </c>
      <c r="I409" s="12">
        <v>166.92</v>
      </c>
      <c r="J409" s="12">
        <v>2824</v>
      </c>
      <c r="K409" s="12">
        <v>469602.96</v>
      </c>
      <c r="L409" s="12">
        <v>471382.08</v>
      </c>
      <c r="M409" s="17">
        <v>1779.12</v>
      </c>
      <c r="N409" s="17">
        <v>0.38</v>
      </c>
      <c r="O409" s="17" t="s">
        <v>25</v>
      </c>
      <c r="P409" s="12">
        <v>0.39279999999999998</v>
      </c>
      <c r="Q409" s="12">
        <v>0.61</v>
      </c>
    </row>
    <row r="410" spans="1:17" x14ac:dyDescent="0.35">
      <c r="A410" s="18" t="s">
        <v>800</v>
      </c>
      <c r="B410" s="18" t="s">
        <v>801</v>
      </c>
      <c r="C410" s="19" t="s">
        <v>83</v>
      </c>
      <c r="D410" s="18" t="s">
        <v>84</v>
      </c>
      <c r="E410" s="20" t="s">
        <v>55</v>
      </c>
      <c r="F410" s="21" t="s">
        <v>62</v>
      </c>
      <c r="G410" s="18" t="s">
        <v>32</v>
      </c>
      <c r="H410" s="18">
        <v>378.81</v>
      </c>
      <c r="I410" s="18">
        <v>535.83000000000004</v>
      </c>
      <c r="J410" s="18">
        <v>1397</v>
      </c>
      <c r="K410" s="18">
        <v>529197.56999999995</v>
      </c>
      <c r="L410" s="18">
        <v>748554.51</v>
      </c>
      <c r="M410" s="22">
        <v>219356.94</v>
      </c>
      <c r="N410" s="22">
        <v>41.45</v>
      </c>
      <c r="O410" s="23" t="s">
        <v>33</v>
      </c>
      <c r="P410" s="18">
        <v>0.15790000000000001</v>
      </c>
      <c r="Q410" s="18">
        <v>1.34</v>
      </c>
    </row>
    <row r="411" spans="1:17" x14ac:dyDescent="0.35">
      <c r="A411" s="12" t="s">
        <v>802</v>
      </c>
      <c r="B411" s="12" t="s">
        <v>787</v>
      </c>
      <c r="C411" s="13" t="s">
        <v>42</v>
      </c>
      <c r="D411" s="12" t="s">
        <v>43</v>
      </c>
      <c r="E411" s="14" t="s">
        <v>44</v>
      </c>
      <c r="F411" s="15" t="s">
        <v>38</v>
      </c>
      <c r="G411" s="12" t="s">
        <v>32</v>
      </c>
      <c r="H411" s="12">
        <v>468.27</v>
      </c>
      <c r="I411" s="12">
        <v>587.04999999999995</v>
      </c>
      <c r="J411" s="12">
        <v>3240</v>
      </c>
      <c r="K411" s="12">
        <v>1517194.8</v>
      </c>
      <c r="L411" s="12">
        <v>1902042</v>
      </c>
      <c r="M411" s="17">
        <v>384847.2</v>
      </c>
      <c r="N411" s="17">
        <v>25.37</v>
      </c>
      <c r="O411" s="16" t="s">
        <v>33</v>
      </c>
      <c r="P411" s="12">
        <v>0.43419999999999997</v>
      </c>
      <c r="Q411" s="12">
        <v>1.74</v>
      </c>
    </row>
    <row r="412" spans="1:17" x14ac:dyDescent="0.35">
      <c r="A412" s="18" t="s">
        <v>803</v>
      </c>
      <c r="B412" s="18" t="s">
        <v>346</v>
      </c>
      <c r="C412" s="19" t="s">
        <v>215</v>
      </c>
      <c r="D412" s="18" t="s">
        <v>216</v>
      </c>
      <c r="E412" s="20" t="s">
        <v>50</v>
      </c>
      <c r="F412" s="21" t="s">
        <v>31</v>
      </c>
      <c r="G412" s="18" t="s">
        <v>39</v>
      </c>
      <c r="H412" s="18">
        <v>166.08</v>
      </c>
      <c r="I412" s="18">
        <v>121.98</v>
      </c>
      <c r="J412" s="18">
        <v>133</v>
      </c>
      <c r="K412" s="18">
        <v>22088.639999999999</v>
      </c>
      <c r="L412" s="18">
        <v>16223.34</v>
      </c>
      <c r="M412" s="23">
        <v>-5865.3</v>
      </c>
      <c r="N412" s="23">
        <v>-26.55</v>
      </c>
      <c r="O412" s="23" t="s">
        <v>33</v>
      </c>
      <c r="P412" s="18">
        <v>0.41820000000000002</v>
      </c>
      <c r="Q412" s="18">
        <v>1.01</v>
      </c>
    </row>
    <row r="413" spans="1:17" x14ac:dyDescent="0.35">
      <c r="A413" s="12" t="s">
        <v>804</v>
      </c>
      <c r="B413" s="12" t="s">
        <v>654</v>
      </c>
      <c r="C413" s="13" t="s">
        <v>87</v>
      </c>
      <c r="D413" s="12" t="s">
        <v>88</v>
      </c>
      <c r="E413" s="14" t="s">
        <v>22</v>
      </c>
      <c r="F413" s="15" t="s">
        <v>62</v>
      </c>
      <c r="G413" s="12" t="s">
        <v>32</v>
      </c>
      <c r="H413" s="12">
        <v>329.64</v>
      </c>
      <c r="I413" s="12">
        <v>305.14999999999998</v>
      </c>
      <c r="J413" s="12">
        <v>4922</v>
      </c>
      <c r="K413" s="12">
        <v>1622488.08</v>
      </c>
      <c r="L413" s="12">
        <v>1501948.3</v>
      </c>
      <c r="M413" s="16">
        <v>-120539.78</v>
      </c>
      <c r="N413" s="16">
        <v>-7.43</v>
      </c>
      <c r="O413" s="17" t="s">
        <v>25</v>
      </c>
      <c r="P413" s="12">
        <v>0.13969999999999999</v>
      </c>
      <c r="Q413" s="12">
        <v>1.74</v>
      </c>
    </row>
    <row r="414" spans="1:17" x14ac:dyDescent="0.35">
      <c r="A414" s="18" t="s">
        <v>805</v>
      </c>
      <c r="B414" s="18" t="s">
        <v>806</v>
      </c>
      <c r="C414" s="19" t="s">
        <v>119</v>
      </c>
      <c r="D414" s="18" t="s">
        <v>120</v>
      </c>
      <c r="E414" s="20" t="s">
        <v>44</v>
      </c>
      <c r="F414" s="21" t="s">
        <v>38</v>
      </c>
      <c r="G414" s="18" t="s">
        <v>65</v>
      </c>
      <c r="H414" s="18">
        <v>45.74</v>
      </c>
      <c r="I414" s="18">
        <v>69.11</v>
      </c>
      <c r="J414" s="18">
        <v>1196</v>
      </c>
      <c r="K414" s="18">
        <v>54705.04</v>
      </c>
      <c r="L414" s="18">
        <v>82655.56</v>
      </c>
      <c r="M414" s="22">
        <v>27950.52</v>
      </c>
      <c r="N414" s="22">
        <v>51.09</v>
      </c>
      <c r="O414" s="23" t="s">
        <v>33</v>
      </c>
      <c r="P414" s="18">
        <v>0.27450000000000002</v>
      </c>
      <c r="Q414" s="18">
        <v>0.83</v>
      </c>
    </row>
    <row r="415" spans="1:17" x14ac:dyDescent="0.35">
      <c r="A415" s="12" t="s">
        <v>807</v>
      </c>
      <c r="B415" s="12" t="s">
        <v>808</v>
      </c>
      <c r="C415" s="13" t="s">
        <v>77</v>
      </c>
      <c r="D415" s="12" t="s">
        <v>78</v>
      </c>
      <c r="E415" s="14" t="s">
        <v>44</v>
      </c>
      <c r="F415" s="15" t="s">
        <v>23</v>
      </c>
      <c r="G415" s="12" t="s">
        <v>39</v>
      </c>
      <c r="H415" s="12">
        <v>150.69999999999999</v>
      </c>
      <c r="I415" s="12">
        <v>94.95</v>
      </c>
      <c r="J415" s="12">
        <v>1174</v>
      </c>
      <c r="K415" s="12">
        <v>176921.8</v>
      </c>
      <c r="L415" s="12">
        <v>111471.3</v>
      </c>
      <c r="M415" s="16">
        <v>-65450.5</v>
      </c>
      <c r="N415" s="16">
        <v>-36.99</v>
      </c>
      <c r="O415" s="16" t="s">
        <v>33</v>
      </c>
      <c r="P415" s="12">
        <v>0.33700000000000002</v>
      </c>
      <c r="Q415" s="12">
        <v>0.75</v>
      </c>
    </row>
    <row r="416" spans="1:17" x14ac:dyDescent="0.35">
      <c r="A416" s="18" t="s">
        <v>809</v>
      </c>
      <c r="B416" s="18" t="s">
        <v>579</v>
      </c>
      <c r="C416" s="19" t="s">
        <v>103</v>
      </c>
      <c r="D416" s="18" t="s">
        <v>104</v>
      </c>
      <c r="E416" s="20" t="s">
        <v>22</v>
      </c>
      <c r="F416" s="21" t="s">
        <v>62</v>
      </c>
      <c r="G416" s="18" t="s">
        <v>24</v>
      </c>
      <c r="H416" s="18">
        <v>329.02</v>
      </c>
      <c r="I416" s="18">
        <v>300.58</v>
      </c>
      <c r="J416" s="18">
        <v>498</v>
      </c>
      <c r="K416" s="18">
        <v>163851.96</v>
      </c>
      <c r="L416" s="18">
        <v>149688.84</v>
      </c>
      <c r="M416" s="23">
        <v>-14163.12</v>
      </c>
      <c r="N416" s="23">
        <v>-8.64</v>
      </c>
      <c r="O416" s="24" t="s">
        <v>45</v>
      </c>
      <c r="P416" s="18">
        <v>0.16650000000000001</v>
      </c>
      <c r="Q416" s="18">
        <v>1.6</v>
      </c>
    </row>
    <row r="417" spans="1:17" x14ac:dyDescent="0.35">
      <c r="A417" s="12" t="s">
        <v>810</v>
      </c>
      <c r="B417" s="12" t="s">
        <v>811</v>
      </c>
      <c r="C417" s="13" t="s">
        <v>103</v>
      </c>
      <c r="D417" s="12" t="s">
        <v>104</v>
      </c>
      <c r="E417" s="14" t="s">
        <v>22</v>
      </c>
      <c r="F417" s="15" t="s">
        <v>38</v>
      </c>
      <c r="G417" s="12" t="s">
        <v>32</v>
      </c>
      <c r="H417" s="12">
        <v>308.5</v>
      </c>
      <c r="I417" s="12">
        <v>389.67</v>
      </c>
      <c r="J417" s="12">
        <v>3739</v>
      </c>
      <c r="K417" s="12">
        <v>1153481.5</v>
      </c>
      <c r="L417" s="12">
        <v>1456976.13</v>
      </c>
      <c r="M417" s="17">
        <v>303494.63</v>
      </c>
      <c r="N417" s="17">
        <v>26.31</v>
      </c>
      <c r="O417" s="16" t="s">
        <v>33</v>
      </c>
      <c r="P417" s="12">
        <v>0.32400000000000001</v>
      </c>
      <c r="Q417" s="12">
        <v>0.78</v>
      </c>
    </row>
    <row r="418" spans="1:17" x14ac:dyDescent="0.35">
      <c r="A418" s="18" t="s">
        <v>812</v>
      </c>
      <c r="B418" s="18" t="s">
        <v>813</v>
      </c>
      <c r="C418" s="19" t="s">
        <v>178</v>
      </c>
      <c r="D418" s="18" t="s">
        <v>179</v>
      </c>
      <c r="E418" s="20" t="s">
        <v>22</v>
      </c>
      <c r="F418" s="21" t="s">
        <v>31</v>
      </c>
      <c r="G418" s="18" t="s">
        <v>32</v>
      </c>
      <c r="H418" s="18">
        <v>162.91999999999999</v>
      </c>
      <c r="I418" s="18">
        <v>212.44</v>
      </c>
      <c r="J418" s="18">
        <v>4362</v>
      </c>
      <c r="K418" s="18">
        <v>710657.04</v>
      </c>
      <c r="L418" s="18">
        <v>926663.28</v>
      </c>
      <c r="M418" s="22">
        <v>216006.24</v>
      </c>
      <c r="N418" s="22">
        <v>30.4</v>
      </c>
      <c r="O418" s="23" t="s">
        <v>33</v>
      </c>
      <c r="P418" s="18">
        <v>0.17899999999999999</v>
      </c>
      <c r="Q418" s="18">
        <v>1.6</v>
      </c>
    </row>
    <row r="419" spans="1:17" x14ac:dyDescent="0.35">
      <c r="A419" s="12" t="s">
        <v>814</v>
      </c>
      <c r="B419" s="12" t="s">
        <v>815</v>
      </c>
      <c r="C419" s="13" t="s">
        <v>20</v>
      </c>
      <c r="D419" s="12" t="s">
        <v>21</v>
      </c>
      <c r="E419" s="14" t="s">
        <v>22</v>
      </c>
      <c r="F419" s="15" t="s">
        <v>98</v>
      </c>
      <c r="G419" s="12" t="s">
        <v>32</v>
      </c>
      <c r="H419" s="12">
        <v>651.26</v>
      </c>
      <c r="I419" s="12">
        <v>800.02</v>
      </c>
      <c r="J419" s="12">
        <v>1033</v>
      </c>
      <c r="K419" s="12">
        <v>672751.58</v>
      </c>
      <c r="L419" s="12">
        <v>826420.66</v>
      </c>
      <c r="M419" s="17">
        <v>153669.07999999999</v>
      </c>
      <c r="N419" s="17">
        <v>22.84</v>
      </c>
      <c r="O419" s="16" t="s">
        <v>33</v>
      </c>
      <c r="P419" s="12">
        <v>0.38190000000000002</v>
      </c>
      <c r="Q419" s="12">
        <v>1.53</v>
      </c>
    </row>
    <row r="420" spans="1:17" x14ac:dyDescent="0.35">
      <c r="A420" s="18" t="s">
        <v>816</v>
      </c>
      <c r="B420" s="18" t="s">
        <v>817</v>
      </c>
      <c r="C420" s="19" t="s">
        <v>72</v>
      </c>
      <c r="D420" s="18" t="s">
        <v>73</v>
      </c>
      <c r="E420" s="20" t="s">
        <v>74</v>
      </c>
      <c r="F420" s="21" t="s">
        <v>38</v>
      </c>
      <c r="G420" s="18" t="s">
        <v>65</v>
      </c>
      <c r="H420" s="18">
        <v>404.15</v>
      </c>
      <c r="I420" s="18">
        <v>510.72</v>
      </c>
      <c r="J420" s="18">
        <v>2519</v>
      </c>
      <c r="K420" s="18">
        <v>1018053.85</v>
      </c>
      <c r="L420" s="18">
        <v>1286503.68</v>
      </c>
      <c r="M420" s="22">
        <v>268449.83</v>
      </c>
      <c r="N420" s="22">
        <v>26.37</v>
      </c>
      <c r="O420" s="23" t="s">
        <v>33</v>
      </c>
      <c r="P420" s="18">
        <v>0.51149999999999995</v>
      </c>
      <c r="Q420" s="18">
        <v>1.43</v>
      </c>
    </row>
    <row r="421" spans="1:17" x14ac:dyDescent="0.35">
      <c r="A421" s="12" t="s">
        <v>818</v>
      </c>
      <c r="B421" s="12" t="s">
        <v>819</v>
      </c>
      <c r="C421" s="13" t="s">
        <v>115</v>
      </c>
      <c r="D421" s="12" t="s">
        <v>116</v>
      </c>
      <c r="E421" s="14" t="s">
        <v>55</v>
      </c>
      <c r="F421" s="15" t="s">
        <v>31</v>
      </c>
      <c r="G421" s="12" t="s">
        <v>39</v>
      </c>
      <c r="H421" s="12">
        <v>820.16</v>
      </c>
      <c r="I421" s="12">
        <v>850.64</v>
      </c>
      <c r="J421" s="12">
        <v>204</v>
      </c>
      <c r="K421" s="12">
        <v>167312.64000000001</v>
      </c>
      <c r="L421" s="12">
        <v>173530.56</v>
      </c>
      <c r="M421" s="17">
        <v>6217.92</v>
      </c>
      <c r="N421" s="17">
        <v>3.72</v>
      </c>
      <c r="O421" s="17" t="s">
        <v>25</v>
      </c>
      <c r="P421" s="12">
        <v>0.47910000000000003</v>
      </c>
      <c r="Q421" s="12">
        <v>1.4</v>
      </c>
    </row>
    <row r="422" spans="1:17" x14ac:dyDescent="0.35">
      <c r="A422" s="18" t="s">
        <v>820</v>
      </c>
      <c r="B422" s="18" t="s">
        <v>282</v>
      </c>
      <c r="C422" s="19" t="s">
        <v>87</v>
      </c>
      <c r="D422" s="18" t="s">
        <v>88</v>
      </c>
      <c r="E422" s="20" t="s">
        <v>22</v>
      </c>
      <c r="F422" s="21" t="s">
        <v>31</v>
      </c>
      <c r="G422" s="18" t="s">
        <v>32</v>
      </c>
      <c r="H422" s="18">
        <v>365.16</v>
      </c>
      <c r="I422" s="18">
        <v>438.09</v>
      </c>
      <c r="J422" s="18">
        <v>2196</v>
      </c>
      <c r="K422" s="18">
        <v>801891.36</v>
      </c>
      <c r="L422" s="18">
        <v>962045.64</v>
      </c>
      <c r="M422" s="22">
        <v>160154.28</v>
      </c>
      <c r="N422" s="22">
        <v>19.97</v>
      </c>
      <c r="O422" s="24" t="s">
        <v>45</v>
      </c>
      <c r="P422" s="18">
        <v>0.54020000000000001</v>
      </c>
      <c r="Q422" s="18">
        <v>0.92</v>
      </c>
    </row>
    <row r="423" spans="1:17" x14ac:dyDescent="0.35">
      <c r="A423" s="12" t="s">
        <v>821</v>
      </c>
      <c r="B423" s="12" t="s">
        <v>822</v>
      </c>
      <c r="C423" s="13" t="s">
        <v>103</v>
      </c>
      <c r="D423" s="12" t="s">
        <v>104</v>
      </c>
      <c r="E423" s="14" t="s">
        <v>22</v>
      </c>
      <c r="F423" s="15" t="s">
        <v>31</v>
      </c>
      <c r="G423" s="12" t="s">
        <v>32</v>
      </c>
      <c r="H423" s="12">
        <v>306.58</v>
      </c>
      <c r="I423" s="12">
        <v>415.03</v>
      </c>
      <c r="J423" s="12">
        <v>2480</v>
      </c>
      <c r="K423" s="12">
        <v>760318.4</v>
      </c>
      <c r="L423" s="12">
        <v>1029274.4</v>
      </c>
      <c r="M423" s="17">
        <v>268956</v>
      </c>
      <c r="N423" s="17">
        <v>35.369999999999997</v>
      </c>
      <c r="O423" s="16" t="s">
        <v>33</v>
      </c>
      <c r="P423" s="12">
        <v>0.30320000000000003</v>
      </c>
      <c r="Q423" s="12">
        <v>0.74</v>
      </c>
    </row>
    <row r="424" spans="1:17" x14ac:dyDescent="0.35">
      <c r="A424" s="18" t="s">
        <v>823</v>
      </c>
      <c r="B424" s="18" t="s">
        <v>130</v>
      </c>
      <c r="C424" s="19" t="s">
        <v>103</v>
      </c>
      <c r="D424" s="18" t="s">
        <v>104</v>
      </c>
      <c r="E424" s="20" t="s">
        <v>22</v>
      </c>
      <c r="F424" s="21" t="s">
        <v>23</v>
      </c>
      <c r="G424" s="18" t="s">
        <v>32</v>
      </c>
      <c r="H424" s="18">
        <v>306.32</v>
      </c>
      <c r="I424" s="18">
        <v>363.42</v>
      </c>
      <c r="J424" s="18">
        <v>2792</v>
      </c>
      <c r="K424" s="18">
        <v>855245.44</v>
      </c>
      <c r="L424" s="18">
        <v>1014668.64</v>
      </c>
      <c r="M424" s="22">
        <v>159423.20000000001</v>
      </c>
      <c r="N424" s="22">
        <v>18.64</v>
      </c>
      <c r="O424" s="24" t="s">
        <v>45</v>
      </c>
      <c r="P424" s="18">
        <v>0.38740000000000002</v>
      </c>
      <c r="Q424" s="18">
        <v>1.65</v>
      </c>
    </row>
    <row r="425" spans="1:17" x14ac:dyDescent="0.35">
      <c r="A425" s="12" t="s">
        <v>824</v>
      </c>
      <c r="B425" s="12" t="s">
        <v>379</v>
      </c>
      <c r="C425" s="13" t="s">
        <v>60</v>
      </c>
      <c r="D425" s="12" t="s">
        <v>61</v>
      </c>
      <c r="E425" s="14" t="s">
        <v>22</v>
      </c>
      <c r="F425" s="15" t="s">
        <v>23</v>
      </c>
      <c r="G425" s="12" t="s">
        <v>65</v>
      </c>
      <c r="H425" s="12">
        <v>135.83000000000001</v>
      </c>
      <c r="I425" s="12">
        <v>211.03</v>
      </c>
      <c r="J425" s="12">
        <v>1032</v>
      </c>
      <c r="K425" s="12">
        <v>140176.56</v>
      </c>
      <c r="L425" s="12">
        <v>217782.96</v>
      </c>
      <c r="M425" s="17">
        <v>77606.399999999994</v>
      </c>
      <c r="N425" s="17">
        <v>55.36</v>
      </c>
      <c r="O425" s="16" t="s">
        <v>33</v>
      </c>
      <c r="P425" s="12">
        <v>0.2369</v>
      </c>
      <c r="Q425" s="12">
        <v>1.06</v>
      </c>
    </row>
    <row r="426" spans="1:17" x14ac:dyDescent="0.35">
      <c r="A426" s="18" t="s">
        <v>825</v>
      </c>
      <c r="B426" s="18" t="s">
        <v>826</v>
      </c>
      <c r="C426" s="19" t="s">
        <v>115</v>
      </c>
      <c r="D426" s="18" t="s">
        <v>116</v>
      </c>
      <c r="E426" s="20" t="s">
        <v>55</v>
      </c>
      <c r="F426" s="21" t="s">
        <v>31</v>
      </c>
      <c r="G426" s="18" t="s">
        <v>32</v>
      </c>
      <c r="H426" s="18">
        <v>825.9</v>
      </c>
      <c r="I426" s="18">
        <v>760.7</v>
      </c>
      <c r="J426" s="18">
        <v>1185</v>
      </c>
      <c r="K426" s="18">
        <v>978691.5</v>
      </c>
      <c r="L426" s="18">
        <v>901429.5</v>
      </c>
      <c r="M426" s="23">
        <v>-77262</v>
      </c>
      <c r="N426" s="23">
        <v>-7.89</v>
      </c>
      <c r="O426" s="22" t="s">
        <v>25</v>
      </c>
      <c r="P426" s="18">
        <v>0.52529999999999999</v>
      </c>
      <c r="Q426" s="18">
        <v>0.79</v>
      </c>
    </row>
    <row r="427" spans="1:17" x14ac:dyDescent="0.35">
      <c r="A427" s="12" t="s">
        <v>827</v>
      </c>
      <c r="B427" s="12" t="s">
        <v>828</v>
      </c>
      <c r="C427" s="13" t="s">
        <v>42</v>
      </c>
      <c r="D427" s="12" t="s">
        <v>43</v>
      </c>
      <c r="E427" s="14" t="s">
        <v>44</v>
      </c>
      <c r="F427" s="15" t="s">
        <v>62</v>
      </c>
      <c r="G427" s="12" t="s">
        <v>39</v>
      </c>
      <c r="H427" s="12">
        <v>497.41</v>
      </c>
      <c r="I427" s="12">
        <v>395.28</v>
      </c>
      <c r="J427" s="12">
        <v>3689</v>
      </c>
      <c r="K427" s="12">
        <v>1834945.49</v>
      </c>
      <c r="L427" s="12">
        <v>1458187.92</v>
      </c>
      <c r="M427" s="16">
        <v>-376757.57</v>
      </c>
      <c r="N427" s="16">
        <v>-20.53</v>
      </c>
      <c r="O427" s="25" t="s">
        <v>45</v>
      </c>
      <c r="P427" s="12">
        <v>0.2742</v>
      </c>
      <c r="Q427" s="12">
        <v>0.63</v>
      </c>
    </row>
    <row r="428" spans="1:17" x14ac:dyDescent="0.35">
      <c r="A428" s="18" t="s">
        <v>829</v>
      </c>
      <c r="B428" s="18" t="s">
        <v>830</v>
      </c>
      <c r="C428" s="19" t="s">
        <v>87</v>
      </c>
      <c r="D428" s="18" t="s">
        <v>88</v>
      </c>
      <c r="E428" s="20" t="s">
        <v>22</v>
      </c>
      <c r="F428" s="21" t="s">
        <v>31</v>
      </c>
      <c r="G428" s="18" t="s">
        <v>39</v>
      </c>
      <c r="H428" s="18">
        <v>343.77</v>
      </c>
      <c r="I428" s="18">
        <v>223.15</v>
      </c>
      <c r="J428" s="18">
        <v>3469</v>
      </c>
      <c r="K428" s="18">
        <v>1192538.1299999999</v>
      </c>
      <c r="L428" s="18">
        <v>774107.35</v>
      </c>
      <c r="M428" s="23">
        <v>-418430.78</v>
      </c>
      <c r="N428" s="23">
        <v>-35.090000000000003</v>
      </c>
      <c r="O428" s="23" t="s">
        <v>33</v>
      </c>
      <c r="P428" s="18">
        <v>0.40160000000000001</v>
      </c>
      <c r="Q428" s="18">
        <v>0.61</v>
      </c>
    </row>
    <row r="429" spans="1:17" x14ac:dyDescent="0.35">
      <c r="A429" s="12" t="s">
        <v>831</v>
      </c>
      <c r="B429" s="12" t="s">
        <v>832</v>
      </c>
      <c r="C429" s="13" t="s">
        <v>72</v>
      </c>
      <c r="D429" s="12" t="s">
        <v>73</v>
      </c>
      <c r="E429" s="14" t="s">
        <v>74</v>
      </c>
      <c r="F429" s="15" t="s">
        <v>98</v>
      </c>
      <c r="G429" s="12" t="s">
        <v>39</v>
      </c>
      <c r="H429" s="12">
        <v>453.12</v>
      </c>
      <c r="I429" s="12">
        <v>426.96</v>
      </c>
      <c r="J429" s="12">
        <v>4352</v>
      </c>
      <c r="K429" s="12">
        <v>1971978.24</v>
      </c>
      <c r="L429" s="12">
        <v>1858129.9199999999</v>
      </c>
      <c r="M429" s="16">
        <v>-113848.32000000001</v>
      </c>
      <c r="N429" s="16">
        <v>-5.77</v>
      </c>
      <c r="O429" s="17" t="s">
        <v>25</v>
      </c>
      <c r="P429" s="12">
        <v>0.161</v>
      </c>
      <c r="Q429" s="12">
        <v>1.39</v>
      </c>
    </row>
    <row r="430" spans="1:17" x14ac:dyDescent="0.35">
      <c r="A430" s="18" t="s">
        <v>833</v>
      </c>
      <c r="B430" s="18" t="s">
        <v>834</v>
      </c>
      <c r="C430" s="19" t="s">
        <v>150</v>
      </c>
      <c r="D430" s="18" t="s">
        <v>151</v>
      </c>
      <c r="E430" s="20" t="s">
        <v>55</v>
      </c>
      <c r="F430" s="21" t="s">
        <v>38</v>
      </c>
      <c r="G430" s="18" t="s">
        <v>65</v>
      </c>
      <c r="H430" s="18">
        <v>170.77</v>
      </c>
      <c r="I430" s="18">
        <v>217.02</v>
      </c>
      <c r="J430" s="18">
        <v>1317</v>
      </c>
      <c r="K430" s="18">
        <v>224904.09</v>
      </c>
      <c r="L430" s="18">
        <v>285815.34000000003</v>
      </c>
      <c r="M430" s="22">
        <v>60911.25</v>
      </c>
      <c r="N430" s="22">
        <v>27.08</v>
      </c>
      <c r="O430" s="23" t="s">
        <v>33</v>
      </c>
      <c r="P430" s="18">
        <v>0.54479999999999995</v>
      </c>
      <c r="Q430" s="18">
        <v>0.67</v>
      </c>
    </row>
    <row r="431" spans="1:17" x14ac:dyDescent="0.35">
      <c r="A431" s="12" t="s">
        <v>835</v>
      </c>
      <c r="B431" s="12" t="s">
        <v>515</v>
      </c>
      <c r="C431" s="13" t="s">
        <v>170</v>
      </c>
      <c r="D431" s="12" t="s">
        <v>171</v>
      </c>
      <c r="E431" s="14" t="s">
        <v>97</v>
      </c>
      <c r="F431" s="15" t="s">
        <v>38</v>
      </c>
      <c r="G431" s="12" t="s">
        <v>39</v>
      </c>
      <c r="H431" s="12">
        <v>126.51</v>
      </c>
      <c r="I431" s="12">
        <v>107.05</v>
      </c>
      <c r="J431" s="12">
        <v>1454</v>
      </c>
      <c r="K431" s="12">
        <v>183945.54</v>
      </c>
      <c r="L431" s="12">
        <v>155650.70000000001</v>
      </c>
      <c r="M431" s="16">
        <v>-28294.84</v>
      </c>
      <c r="N431" s="16">
        <v>-15.38</v>
      </c>
      <c r="O431" s="25" t="s">
        <v>45</v>
      </c>
      <c r="P431" s="12">
        <v>0.22359999999999999</v>
      </c>
      <c r="Q431" s="12">
        <v>1.76</v>
      </c>
    </row>
    <row r="432" spans="1:17" x14ac:dyDescent="0.35">
      <c r="A432" s="18" t="s">
        <v>836</v>
      </c>
      <c r="B432" s="18" t="s">
        <v>472</v>
      </c>
      <c r="C432" s="19" t="s">
        <v>103</v>
      </c>
      <c r="D432" s="18" t="s">
        <v>104</v>
      </c>
      <c r="E432" s="20" t="s">
        <v>22</v>
      </c>
      <c r="F432" s="21" t="s">
        <v>62</v>
      </c>
      <c r="G432" s="18" t="s">
        <v>39</v>
      </c>
      <c r="H432" s="18">
        <v>310.70999999999998</v>
      </c>
      <c r="I432" s="18">
        <v>226.23</v>
      </c>
      <c r="J432" s="18">
        <v>3201</v>
      </c>
      <c r="K432" s="18">
        <v>994582.71</v>
      </c>
      <c r="L432" s="18">
        <v>724162.23</v>
      </c>
      <c r="M432" s="23">
        <v>-270420.47999999998</v>
      </c>
      <c r="N432" s="23">
        <v>-27.19</v>
      </c>
      <c r="O432" s="23" t="s">
        <v>33</v>
      </c>
      <c r="P432" s="18">
        <v>0.31740000000000002</v>
      </c>
      <c r="Q432" s="18">
        <v>1.56</v>
      </c>
    </row>
    <row r="433" spans="1:17" x14ac:dyDescent="0.35">
      <c r="A433" s="12" t="s">
        <v>837</v>
      </c>
      <c r="B433" s="12" t="s">
        <v>362</v>
      </c>
      <c r="C433" s="13" t="s">
        <v>119</v>
      </c>
      <c r="D433" s="12" t="s">
        <v>120</v>
      </c>
      <c r="E433" s="14" t="s">
        <v>44</v>
      </c>
      <c r="F433" s="15" t="s">
        <v>38</v>
      </c>
      <c r="G433" s="12" t="s">
        <v>39</v>
      </c>
      <c r="H433" s="12">
        <v>42.51</v>
      </c>
      <c r="I433" s="12">
        <v>36.08</v>
      </c>
      <c r="J433" s="12">
        <v>2689</v>
      </c>
      <c r="K433" s="12">
        <v>114309.39</v>
      </c>
      <c r="L433" s="12">
        <v>97019.12</v>
      </c>
      <c r="M433" s="16">
        <v>-17290.27</v>
      </c>
      <c r="N433" s="16">
        <v>-15.13</v>
      </c>
      <c r="O433" s="25" t="s">
        <v>45</v>
      </c>
      <c r="P433" s="12">
        <v>0.40100000000000002</v>
      </c>
      <c r="Q433" s="12">
        <v>0.72</v>
      </c>
    </row>
    <row r="434" spans="1:17" x14ac:dyDescent="0.35">
      <c r="A434" s="18" t="s">
        <v>838</v>
      </c>
      <c r="B434" s="18" t="s">
        <v>789</v>
      </c>
      <c r="C434" s="19" t="s">
        <v>42</v>
      </c>
      <c r="D434" s="18" t="s">
        <v>43</v>
      </c>
      <c r="E434" s="20" t="s">
        <v>44</v>
      </c>
      <c r="F434" s="21" t="s">
        <v>31</v>
      </c>
      <c r="G434" s="18" t="s">
        <v>32</v>
      </c>
      <c r="H434" s="18">
        <v>614.37</v>
      </c>
      <c r="I434" s="18">
        <v>782.48</v>
      </c>
      <c r="J434" s="18">
        <v>2595</v>
      </c>
      <c r="K434" s="18">
        <v>1594290.15</v>
      </c>
      <c r="L434" s="18">
        <v>2030535.6</v>
      </c>
      <c r="M434" s="22">
        <v>436245.45</v>
      </c>
      <c r="N434" s="22">
        <v>27.36</v>
      </c>
      <c r="O434" s="23" t="s">
        <v>33</v>
      </c>
      <c r="P434" s="18">
        <v>0.40150000000000002</v>
      </c>
      <c r="Q434" s="18">
        <v>1.1499999999999999</v>
      </c>
    </row>
    <row r="435" spans="1:17" x14ac:dyDescent="0.35">
      <c r="A435" s="12" t="s">
        <v>839</v>
      </c>
      <c r="B435" s="12" t="s">
        <v>161</v>
      </c>
      <c r="C435" s="13" t="s">
        <v>215</v>
      </c>
      <c r="D435" s="12" t="s">
        <v>216</v>
      </c>
      <c r="E435" s="14" t="s">
        <v>50</v>
      </c>
      <c r="F435" s="15" t="s">
        <v>23</v>
      </c>
      <c r="G435" s="12" t="s">
        <v>32</v>
      </c>
      <c r="H435" s="12">
        <v>151.93</v>
      </c>
      <c r="I435" s="12">
        <v>215.31</v>
      </c>
      <c r="J435" s="12">
        <v>3822</v>
      </c>
      <c r="K435" s="12">
        <v>580676.46</v>
      </c>
      <c r="L435" s="12">
        <v>822914.82</v>
      </c>
      <c r="M435" s="17">
        <v>242238.36</v>
      </c>
      <c r="N435" s="17">
        <v>41.72</v>
      </c>
      <c r="O435" s="16" t="s">
        <v>33</v>
      </c>
      <c r="P435" s="12">
        <v>0.378</v>
      </c>
      <c r="Q435" s="12">
        <v>1.46</v>
      </c>
    </row>
    <row r="436" spans="1:17" x14ac:dyDescent="0.35">
      <c r="A436" s="18" t="s">
        <v>840</v>
      </c>
      <c r="B436" s="18" t="s">
        <v>841</v>
      </c>
      <c r="C436" s="19" t="s">
        <v>48</v>
      </c>
      <c r="D436" s="18" t="s">
        <v>49</v>
      </c>
      <c r="E436" s="20" t="s">
        <v>50</v>
      </c>
      <c r="F436" s="21" t="s">
        <v>31</v>
      </c>
      <c r="G436" s="18" t="s">
        <v>32</v>
      </c>
      <c r="H436" s="18">
        <v>55.29</v>
      </c>
      <c r="I436" s="18">
        <v>62.4</v>
      </c>
      <c r="J436" s="18">
        <v>1916</v>
      </c>
      <c r="K436" s="18">
        <v>105935.64</v>
      </c>
      <c r="L436" s="18">
        <v>119558.39999999999</v>
      </c>
      <c r="M436" s="22">
        <v>13622.76</v>
      </c>
      <c r="N436" s="22">
        <v>12.86</v>
      </c>
      <c r="O436" s="24" t="s">
        <v>45</v>
      </c>
      <c r="P436" s="18">
        <v>0.39250000000000002</v>
      </c>
      <c r="Q436" s="18">
        <v>1.56</v>
      </c>
    </row>
    <row r="437" spans="1:17" x14ac:dyDescent="0.35">
      <c r="A437" s="12" t="s">
        <v>842</v>
      </c>
      <c r="B437" s="12" t="s">
        <v>843</v>
      </c>
      <c r="C437" s="13" t="s">
        <v>36</v>
      </c>
      <c r="D437" s="12" t="s">
        <v>37</v>
      </c>
      <c r="E437" s="14" t="s">
        <v>30</v>
      </c>
      <c r="F437" s="15" t="s">
        <v>31</v>
      </c>
      <c r="G437" s="12" t="s">
        <v>65</v>
      </c>
      <c r="H437" s="12">
        <v>235</v>
      </c>
      <c r="I437" s="12">
        <v>287.8</v>
      </c>
      <c r="J437" s="12">
        <v>475</v>
      </c>
      <c r="K437" s="12">
        <v>111625</v>
      </c>
      <c r="L437" s="12">
        <v>136705</v>
      </c>
      <c r="M437" s="17">
        <v>25080</v>
      </c>
      <c r="N437" s="17">
        <v>22.47</v>
      </c>
      <c r="O437" s="16" t="s">
        <v>33</v>
      </c>
      <c r="P437" s="12">
        <v>0.47339999999999999</v>
      </c>
      <c r="Q437" s="12">
        <v>1.49</v>
      </c>
    </row>
    <row r="438" spans="1:17" x14ac:dyDescent="0.35">
      <c r="A438" s="18" t="s">
        <v>844</v>
      </c>
      <c r="B438" s="18" t="s">
        <v>177</v>
      </c>
      <c r="C438" s="19" t="s">
        <v>42</v>
      </c>
      <c r="D438" s="18" t="s">
        <v>43</v>
      </c>
      <c r="E438" s="20" t="s">
        <v>44</v>
      </c>
      <c r="F438" s="21" t="s">
        <v>62</v>
      </c>
      <c r="G438" s="18" t="s">
        <v>24</v>
      </c>
      <c r="H438" s="18">
        <v>498.44</v>
      </c>
      <c r="I438" s="18">
        <v>763.19</v>
      </c>
      <c r="J438" s="18">
        <v>1704</v>
      </c>
      <c r="K438" s="18">
        <v>849341.76</v>
      </c>
      <c r="L438" s="18">
        <v>1300475.76</v>
      </c>
      <c r="M438" s="22">
        <v>451134</v>
      </c>
      <c r="N438" s="22">
        <v>53.12</v>
      </c>
      <c r="O438" s="23" t="s">
        <v>33</v>
      </c>
      <c r="P438" s="18">
        <v>0.28889999999999999</v>
      </c>
      <c r="Q438" s="18">
        <v>1.1499999999999999</v>
      </c>
    </row>
    <row r="439" spans="1:17" x14ac:dyDescent="0.35">
      <c r="A439" s="12" t="s">
        <v>845</v>
      </c>
      <c r="B439" s="12" t="s">
        <v>412</v>
      </c>
      <c r="C439" s="13" t="s">
        <v>95</v>
      </c>
      <c r="D439" s="12" t="s">
        <v>96</v>
      </c>
      <c r="E439" s="14" t="s">
        <v>97</v>
      </c>
      <c r="F439" s="15" t="s">
        <v>38</v>
      </c>
      <c r="G439" s="12" t="s">
        <v>32</v>
      </c>
      <c r="H439" s="12">
        <v>248.16</v>
      </c>
      <c r="I439" s="12">
        <v>363.86</v>
      </c>
      <c r="J439" s="12">
        <v>480</v>
      </c>
      <c r="K439" s="12">
        <v>119116.8</v>
      </c>
      <c r="L439" s="12">
        <v>174652.79999999999</v>
      </c>
      <c r="M439" s="17">
        <v>55536</v>
      </c>
      <c r="N439" s="17">
        <v>46.62</v>
      </c>
      <c r="O439" s="16" t="s">
        <v>33</v>
      </c>
      <c r="P439" s="12">
        <v>0.37319999999999998</v>
      </c>
      <c r="Q439" s="12">
        <v>1.53</v>
      </c>
    </row>
    <row r="440" spans="1:17" x14ac:dyDescent="0.35">
      <c r="A440" s="18" t="s">
        <v>846</v>
      </c>
      <c r="B440" s="18" t="s">
        <v>405</v>
      </c>
      <c r="C440" s="19" t="s">
        <v>119</v>
      </c>
      <c r="D440" s="18" t="s">
        <v>120</v>
      </c>
      <c r="E440" s="20" t="s">
        <v>44</v>
      </c>
      <c r="F440" s="21" t="s">
        <v>38</v>
      </c>
      <c r="G440" s="18" t="s">
        <v>32</v>
      </c>
      <c r="H440" s="18">
        <v>48.44</v>
      </c>
      <c r="I440" s="18">
        <v>44.27</v>
      </c>
      <c r="J440" s="18">
        <v>135</v>
      </c>
      <c r="K440" s="18">
        <v>6539.4</v>
      </c>
      <c r="L440" s="18">
        <v>5976.45</v>
      </c>
      <c r="M440" s="23">
        <v>-562.95000000000005</v>
      </c>
      <c r="N440" s="23">
        <v>-8.61</v>
      </c>
      <c r="O440" s="24" t="s">
        <v>45</v>
      </c>
      <c r="P440" s="18">
        <v>0.5222</v>
      </c>
      <c r="Q440" s="18">
        <v>1.61</v>
      </c>
    </row>
    <row r="441" spans="1:17" x14ac:dyDescent="0.35">
      <c r="A441" s="12" t="s">
        <v>847</v>
      </c>
      <c r="B441" s="12" t="s">
        <v>848</v>
      </c>
      <c r="C441" s="13" t="s">
        <v>115</v>
      </c>
      <c r="D441" s="12" t="s">
        <v>116</v>
      </c>
      <c r="E441" s="14" t="s">
        <v>55</v>
      </c>
      <c r="F441" s="15" t="s">
        <v>62</v>
      </c>
      <c r="G441" s="12" t="s">
        <v>32</v>
      </c>
      <c r="H441" s="12">
        <v>833.94</v>
      </c>
      <c r="I441" s="12">
        <v>808.81</v>
      </c>
      <c r="J441" s="12">
        <v>1522</v>
      </c>
      <c r="K441" s="12">
        <v>1269256.68</v>
      </c>
      <c r="L441" s="12">
        <v>1231008.82</v>
      </c>
      <c r="M441" s="16">
        <v>-38247.86</v>
      </c>
      <c r="N441" s="16">
        <v>-3.01</v>
      </c>
      <c r="O441" s="17" t="s">
        <v>25</v>
      </c>
      <c r="P441" s="12">
        <v>0.28660000000000002</v>
      </c>
      <c r="Q441" s="12">
        <v>1.32</v>
      </c>
    </row>
    <row r="442" spans="1:17" x14ac:dyDescent="0.35">
      <c r="A442" s="18" t="s">
        <v>849</v>
      </c>
      <c r="B442" s="18" t="s">
        <v>183</v>
      </c>
      <c r="C442" s="19" t="s">
        <v>215</v>
      </c>
      <c r="D442" s="18" t="s">
        <v>216</v>
      </c>
      <c r="E442" s="20" t="s">
        <v>50</v>
      </c>
      <c r="F442" s="21" t="s">
        <v>38</v>
      </c>
      <c r="G442" s="18" t="s">
        <v>32</v>
      </c>
      <c r="H442" s="18">
        <v>149.13</v>
      </c>
      <c r="I442" s="18">
        <v>231.82</v>
      </c>
      <c r="J442" s="18">
        <v>2133</v>
      </c>
      <c r="K442" s="18">
        <v>318094.28999999998</v>
      </c>
      <c r="L442" s="18">
        <v>494472.06</v>
      </c>
      <c r="M442" s="22">
        <v>176377.77</v>
      </c>
      <c r="N442" s="22">
        <v>55.45</v>
      </c>
      <c r="O442" s="23" t="s">
        <v>33</v>
      </c>
      <c r="P442" s="18">
        <v>0.5373</v>
      </c>
      <c r="Q442" s="18">
        <v>1.1399999999999999</v>
      </c>
    </row>
    <row r="443" spans="1:17" x14ac:dyDescent="0.35">
      <c r="A443" s="12" t="s">
        <v>850</v>
      </c>
      <c r="B443" s="12" t="s">
        <v>851</v>
      </c>
      <c r="C443" s="13" t="s">
        <v>87</v>
      </c>
      <c r="D443" s="12" t="s">
        <v>88</v>
      </c>
      <c r="E443" s="14" t="s">
        <v>22</v>
      </c>
      <c r="F443" s="15" t="s">
        <v>62</v>
      </c>
      <c r="G443" s="12" t="s">
        <v>32</v>
      </c>
      <c r="H443" s="12">
        <v>328.89</v>
      </c>
      <c r="I443" s="12">
        <v>450.92</v>
      </c>
      <c r="J443" s="12">
        <v>4296</v>
      </c>
      <c r="K443" s="12">
        <v>1412911.44</v>
      </c>
      <c r="L443" s="12">
        <v>1937152.32</v>
      </c>
      <c r="M443" s="17">
        <v>524240.88</v>
      </c>
      <c r="N443" s="17">
        <v>37.1</v>
      </c>
      <c r="O443" s="16" t="s">
        <v>33</v>
      </c>
      <c r="P443" s="12">
        <v>0.49009999999999998</v>
      </c>
      <c r="Q443" s="12">
        <v>1.45</v>
      </c>
    </row>
    <row r="444" spans="1:17" x14ac:dyDescent="0.35">
      <c r="A444" s="18" t="s">
        <v>852</v>
      </c>
      <c r="B444" s="18" t="s">
        <v>853</v>
      </c>
      <c r="C444" s="19" t="s">
        <v>36</v>
      </c>
      <c r="D444" s="18" t="s">
        <v>37</v>
      </c>
      <c r="E444" s="20" t="s">
        <v>30</v>
      </c>
      <c r="F444" s="21" t="s">
        <v>23</v>
      </c>
      <c r="G444" s="18" t="s">
        <v>39</v>
      </c>
      <c r="H444" s="18">
        <v>217.82</v>
      </c>
      <c r="I444" s="18">
        <v>164.16</v>
      </c>
      <c r="J444" s="18">
        <v>1817</v>
      </c>
      <c r="K444" s="18">
        <v>395778.94</v>
      </c>
      <c r="L444" s="18">
        <v>298278.71999999997</v>
      </c>
      <c r="M444" s="23">
        <v>-97500.22</v>
      </c>
      <c r="N444" s="23">
        <v>-24.64</v>
      </c>
      <c r="O444" s="23" t="s">
        <v>33</v>
      </c>
      <c r="P444" s="18">
        <v>0.26850000000000002</v>
      </c>
      <c r="Q444" s="18">
        <v>1.41</v>
      </c>
    </row>
    <row r="445" spans="1:17" x14ac:dyDescent="0.35">
      <c r="A445" s="12" t="s">
        <v>854</v>
      </c>
      <c r="B445" s="12" t="s">
        <v>855</v>
      </c>
      <c r="C445" s="13" t="s">
        <v>170</v>
      </c>
      <c r="D445" s="12" t="s">
        <v>171</v>
      </c>
      <c r="E445" s="14" t="s">
        <v>97</v>
      </c>
      <c r="F445" s="15" t="s">
        <v>31</v>
      </c>
      <c r="G445" s="12" t="s">
        <v>65</v>
      </c>
      <c r="H445" s="12">
        <v>147.71</v>
      </c>
      <c r="I445" s="12">
        <v>190.25</v>
      </c>
      <c r="J445" s="12">
        <v>2985</v>
      </c>
      <c r="K445" s="12">
        <v>440914.35</v>
      </c>
      <c r="L445" s="12">
        <v>567896.25</v>
      </c>
      <c r="M445" s="17">
        <v>126981.9</v>
      </c>
      <c r="N445" s="17">
        <v>28.8</v>
      </c>
      <c r="O445" s="16" t="s">
        <v>33</v>
      </c>
      <c r="P445" s="12">
        <v>0.52529999999999999</v>
      </c>
      <c r="Q445" s="12">
        <v>1.45</v>
      </c>
    </row>
    <row r="446" spans="1:17" x14ac:dyDescent="0.35">
      <c r="A446" s="18" t="s">
        <v>856</v>
      </c>
      <c r="B446" s="18" t="s">
        <v>118</v>
      </c>
      <c r="C446" s="19" t="s">
        <v>36</v>
      </c>
      <c r="D446" s="18" t="s">
        <v>37</v>
      </c>
      <c r="E446" s="20" t="s">
        <v>30</v>
      </c>
      <c r="F446" s="21" t="s">
        <v>31</v>
      </c>
      <c r="G446" s="18" t="s">
        <v>32</v>
      </c>
      <c r="H446" s="18">
        <v>185.21</v>
      </c>
      <c r="I446" s="18">
        <v>212.36</v>
      </c>
      <c r="J446" s="18">
        <v>4382</v>
      </c>
      <c r="K446" s="18">
        <v>811590.22</v>
      </c>
      <c r="L446" s="18">
        <v>930561.52</v>
      </c>
      <c r="M446" s="22">
        <v>118971.3</v>
      </c>
      <c r="N446" s="22">
        <v>14.66</v>
      </c>
      <c r="O446" s="24" t="s">
        <v>45</v>
      </c>
      <c r="P446" s="18">
        <v>0.14280000000000001</v>
      </c>
      <c r="Q446" s="18">
        <v>0.67</v>
      </c>
    </row>
    <row r="447" spans="1:17" x14ac:dyDescent="0.35">
      <c r="A447" s="12" t="s">
        <v>857</v>
      </c>
      <c r="B447" s="12" t="s">
        <v>858</v>
      </c>
      <c r="C447" s="13" t="s">
        <v>83</v>
      </c>
      <c r="D447" s="12" t="s">
        <v>84</v>
      </c>
      <c r="E447" s="14" t="s">
        <v>55</v>
      </c>
      <c r="F447" s="15" t="s">
        <v>98</v>
      </c>
      <c r="G447" s="12" t="s">
        <v>24</v>
      </c>
      <c r="H447" s="12">
        <v>418.69</v>
      </c>
      <c r="I447" s="12">
        <v>570.85</v>
      </c>
      <c r="J447" s="12">
        <v>1299</v>
      </c>
      <c r="K447" s="12">
        <v>543878.31000000006</v>
      </c>
      <c r="L447" s="12">
        <v>741534.15</v>
      </c>
      <c r="M447" s="17">
        <v>197655.84</v>
      </c>
      <c r="N447" s="17">
        <v>36.340000000000003</v>
      </c>
      <c r="O447" s="16" t="s">
        <v>33</v>
      </c>
      <c r="P447" s="12">
        <v>0.24690000000000001</v>
      </c>
      <c r="Q447" s="12">
        <v>1.5</v>
      </c>
    </row>
    <row r="448" spans="1:17" x14ac:dyDescent="0.35">
      <c r="A448" s="18" t="s">
        <v>859</v>
      </c>
      <c r="B448" s="18" t="s">
        <v>860</v>
      </c>
      <c r="C448" s="19" t="s">
        <v>103</v>
      </c>
      <c r="D448" s="18" t="s">
        <v>104</v>
      </c>
      <c r="E448" s="20" t="s">
        <v>22</v>
      </c>
      <c r="F448" s="21" t="s">
        <v>31</v>
      </c>
      <c r="G448" s="18" t="s">
        <v>39</v>
      </c>
      <c r="H448" s="18">
        <v>355.02</v>
      </c>
      <c r="I448" s="18">
        <v>341.36</v>
      </c>
      <c r="J448" s="18">
        <v>4702</v>
      </c>
      <c r="K448" s="18">
        <v>1669304.04</v>
      </c>
      <c r="L448" s="18">
        <v>1605074.72</v>
      </c>
      <c r="M448" s="23">
        <v>-64229.32</v>
      </c>
      <c r="N448" s="23">
        <v>-3.85</v>
      </c>
      <c r="O448" s="22" t="s">
        <v>25</v>
      </c>
      <c r="P448" s="18">
        <v>0.36130000000000001</v>
      </c>
      <c r="Q448" s="18">
        <v>0.89</v>
      </c>
    </row>
    <row r="449" spans="1:17" x14ac:dyDescent="0.35">
      <c r="A449" s="12" t="s">
        <v>861</v>
      </c>
      <c r="B449" s="12" t="s">
        <v>600</v>
      </c>
      <c r="C449" s="13" t="s">
        <v>137</v>
      </c>
      <c r="D449" s="12" t="s">
        <v>138</v>
      </c>
      <c r="E449" s="14" t="s">
        <v>50</v>
      </c>
      <c r="F449" s="15" t="s">
        <v>38</v>
      </c>
      <c r="G449" s="12" t="s">
        <v>32</v>
      </c>
      <c r="H449" s="12">
        <v>102.37</v>
      </c>
      <c r="I449" s="12">
        <v>146.56</v>
      </c>
      <c r="J449" s="12">
        <v>3274</v>
      </c>
      <c r="K449" s="12">
        <v>335159.38</v>
      </c>
      <c r="L449" s="12">
        <v>479837.44</v>
      </c>
      <c r="M449" s="17">
        <v>144678.06</v>
      </c>
      <c r="N449" s="17">
        <v>43.17</v>
      </c>
      <c r="O449" s="16" t="s">
        <v>33</v>
      </c>
      <c r="P449" s="12">
        <v>0.41460000000000002</v>
      </c>
      <c r="Q449" s="12">
        <v>1.76</v>
      </c>
    </row>
    <row r="450" spans="1:17" x14ac:dyDescent="0.35">
      <c r="A450" s="18" t="s">
        <v>862</v>
      </c>
      <c r="B450" s="18" t="s">
        <v>863</v>
      </c>
      <c r="C450" s="19" t="s">
        <v>103</v>
      </c>
      <c r="D450" s="18" t="s">
        <v>104</v>
      </c>
      <c r="E450" s="20" t="s">
        <v>22</v>
      </c>
      <c r="F450" s="21" t="s">
        <v>23</v>
      </c>
      <c r="G450" s="18" t="s">
        <v>24</v>
      </c>
      <c r="H450" s="18">
        <v>351.68</v>
      </c>
      <c r="I450" s="18">
        <v>533.86</v>
      </c>
      <c r="J450" s="18">
        <v>3729</v>
      </c>
      <c r="K450" s="18">
        <v>1311414.72</v>
      </c>
      <c r="L450" s="18">
        <v>1990763.94</v>
      </c>
      <c r="M450" s="22">
        <v>679349.22</v>
      </c>
      <c r="N450" s="22">
        <v>51.8</v>
      </c>
      <c r="O450" s="23" t="s">
        <v>33</v>
      </c>
      <c r="P450" s="18">
        <v>0.42299999999999999</v>
      </c>
      <c r="Q450" s="18">
        <v>1.38</v>
      </c>
    </row>
    <row r="451" spans="1:17" x14ac:dyDescent="0.35">
      <c r="A451" s="12" t="s">
        <v>864</v>
      </c>
      <c r="B451" s="12" t="s">
        <v>865</v>
      </c>
      <c r="C451" s="13" t="s">
        <v>28</v>
      </c>
      <c r="D451" s="12" t="s">
        <v>29</v>
      </c>
      <c r="E451" s="14" t="s">
        <v>30</v>
      </c>
      <c r="F451" s="15" t="s">
        <v>23</v>
      </c>
      <c r="G451" s="12" t="s">
        <v>39</v>
      </c>
      <c r="H451" s="12">
        <v>236.31</v>
      </c>
      <c r="I451" s="12">
        <v>253.42</v>
      </c>
      <c r="J451" s="12">
        <v>2509</v>
      </c>
      <c r="K451" s="12">
        <v>592901.79</v>
      </c>
      <c r="L451" s="12">
        <v>635830.78</v>
      </c>
      <c r="M451" s="17">
        <v>42928.99</v>
      </c>
      <c r="N451" s="17">
        <v>7.24</v>
      </c>
      <c r="O451" s="17" t="s">
        <v>25</v>
      </c>
      <c r="P451" s="12">
        <v>0.152</v>
      </c>
      <c r="Q451" s="12">
        <v>1.75</v>
      </c>
    </row>
    <row r="452" spans="1:17" x14ac:dyDescent="0.35">
      <c r="A452" s="18" t="s">
        <v>866</v>
      </c>
      <c r="B452" s="18" t="s">
        <v>867</v>
      </c>
      <c r="C452" s="19" t="s">
        <v>72</v>
      </c>
      <c r="D452" s="18" t="s">
        <v>73</v>
      </c>
      <c r="E452" s="20" t="s">
        <v>74</v>
      </c>
      <c r="F452" s="21" t="s">
        <v>31</v>
      </c>
      <c r="G452" s="18" t="s">
        <v>32</v>
      </c>
      <c r="H452" s="18">
        <v>420.18</v>
      </c>
      <c r="I452" s="18">
        <v>447.48</v>
      </c>
      <c r="J452" s="18">
        <v>3610</v>
      </c>
      <c r="K452" s="18">
        <v>1516849.8</v>
      </c>
      <c r="L452" s="18">
        <v>1615402.8</v>
      </c>
      <c r="M452" s="22">
        <v>98553</v>
      </c>
      <c r="N452" s="22">
        <v>6.5</v>
      </c>
      <c r="O452" s="22" t="s">
        <v>25</v>
      </c>
      <c r="P452" s="18">
        <v>0.18920000000000001</v>
      </c>
      <c r="Q452" s="18">
        <v>1.62</v>
      </c>
    </row>
    <row r="453" spans="1:17" x14ac:dyDescent="0.35">
      <c r="A453" s="12" t="s">
        <v>868</v>
      </c>
      <c r="B453" s="12" t="s">
        <v>819</v>
      </c>
      <c r="C453" s="13" t="s">
        <v>178</v>
      </c>
      <c r="D453" s="12" t="s">
        <v>179</v>
      </c>
      <c r="E453" s="14" t="s">
        <v>22</v>
      </c>
      <c r="F453" s="15" t="s">
        <v>23</v>
      </c>
      <c r="G453" s="12" t="s">
        <v>39</v>
      </c>
      <c r="H453" s="12">
        <v>156.82</v>
      </c>
      <c r="I453" s="12">
        <v>120.5</v>
      </c>
      <c r="J453" s="12">
        <v>427</v>
      </c>
      <c r="K453" s="12">
        <v>66962.14</v>
      </c>
      <c r="L453" s="12">
        <v>51453.5</v>
      </c>
      <c r="M453" s="16">
        <v>-15508.64</v>
      </c>
      <c r="N453" s="16">
        <v>-23.16</v>
      </c>
      <c r="O453" s="16" t="s">
        <v>33</v>
      </c>
      <c r="P453" s="12">
        <v>0.1419</v>
      </c>
      <c r="Q453" s="12">
        <v>1.72</v>
      </c>
    </row>
    <row r="454" spans="1:17" x14ac:dyDescent="0.35">
      <c r="A454" s="18" t="s">
        <v>869</v>
      </c>
      <c r="B454" s="18" t="s">
        <v>246</v>
      </c>
      <c r="C454" s="19" t="s">
        <v>53</v>
      </c>
      <c r="D454" s="18" t="s">
        <v>54</v>
      </c>
      <c r="E454" s="20" t="s">
        <v>55</v>
      </c>
      <c r="F454" s="21" t="s">
        <v>38</v>
      </c>
      <c r="G454" s="18" t="s">
        <v>24</v>
      </c>
      <c r="H454" s="18">
        <v>91.35</v>
      </c>
      <c r="I454" s="18">
        <v>85.05</v>
      </c>
      <c r="J454" s="18">
        <v>4791</v>
      </c>
      <c r="K454" s="18">
        <v>437657.85</v>
      </c>
      <c r="L454" s="18">
        <v>407474.55</v>
      </c>
      <c r="M454" s="23">
        <v>-30183.3</v>
      </c>
      <c r="N454" s="23">
        <v>-6.9</v>
      </c>
      <c r="O454" s="22" t="s">
        <v>25</v>
      </c>
      <c r="P454" s="18">
        <v>0.42430000000000001</v>
      </c>
      <c r="Q454" s="18">
        <v>1.23</v>
      </c>
    </row>
    <row r="455" spans="1:17" x14ac:dyDescent="0.35">
      <c r="A455" s="12" t="s">
        <v>870</v>
      </c>
      <c r="B455" s="12" t="s">
        <v>871</v>
      </c>
      <c r="C455" s="13" t="s">
        <v>170</v>
      </c>
      <c r="D455" s="12" t="s">
        <v>171</v>
      </c>
      <c r="E455" s="14" t="s">
        <v>97</v>
      </c>
      <c r="F455" s="15" t="s">
        <v>62</v>
      </c>
      <c r="G455" s="12" t="s">
        <v>32</v>
      </c>
      <c r="H455" s="12">
        <v>141.34</v>
      </c>
      <c r="I455" s="12">
        <v>177.51</v>
      </c>
      <c r="J455" s="12">
        <v>1405</v>
      </c>
      <c r="K455" s="12">
        <v>198582.7</v>
      </c>
      <c r="L455" s="12">
        <v>249401.55</v>
      </c>
      <c r="M455" s="17">
        <v>50818.85</v>
      </c>
      <c r="N455" s="17">
        <v>25.59</v>
      </c>
      <c r="O455" s="16" t="s">
        <v>33</v>
      </c>
      <c r="P455" s="12">
        <v>0.1595</v>
      </c>
      <c r="Q455" s="12">
        <v>0.87</v>
      </c>
    </row>
    <row r="456" spans="1:17" x14ac:dyDescent="0.35">
      <c r="A456" s="18" t="s">
        <v>872</v>
      </c>
      <c r="B456" s="18" t="s">
        <v>873</v>
      </c>
      <c r="C456" s="19" t="s">
        <v>95</v>
      </c>
      <c r="D456" s="18" t="s">
        <v>96</v>
      </c>
      <c r="E456" s="20" t="s">
        <v>97</v>
      </c>
      <c r="F456" s="21" t="s">
        <v>98</v>
      </c>
      <c r="G456" s="18" t="s">
        <v>65</v>
      </c>
      <c r="H456" s="18">
        <v>206.38</v>
      </c>
      <c r="I456" s="18">
        <v>318.89999999999998</v>
      </c>
      <c r="J456" s="18">
        <v>3055</v>
      </c>
      <c r="K456" s="18">
        <v>630490.9</v>
      </c>
      <c r="L456" s="18">
        <v>974239.5</v>
      </c>
      <c r="M456" s="22">
        <v>343748.6</v>
      </c>
      <c r="N456" s="22">
        <v>54.52</v>
      </c>
      <c r="O456" s="23" t="s">
        <v>33</v>
      </c>
      <c r="P456" s="18">
        <v>0.38590000000000002</v>
      </c>
      <c r="Q456" s="18">
        <v>1.17</v>
      </c>
    </row>
    <row r="457" spans="1:17" x14ac:dyDescent="0.35">
      <c r="A457" s="12" t="s">
        <v>874</v>
      </c>
      <c r="B457" s="12" t="s">
        <v>875</v>
      </c>
      <c r="C457" s="13" t="s">
        <v>36</v>
      </c>
      <c r="D457" s="12" t="s">
        <v>37</v>
      </c>
      <c r="E457" s="14" t="s">
        <v>30</v>
      </c>
      <c r="F457" s="15" t="s">
        <v>31</v>
      </c>
      <c r="G457" s="12" t="s">
        <v>32</v>
      </c>
      <c r="H457" s="12">
        <v>206.58</v>
      </c>
      <c r="I457" s="12">
        <v>312.58999999999997</v>
      </c>
      <c r="J457" s="12">
        <v>2934</v>
      </c>
      <c r="K457" s="12">
        <v>606105.72</v>
      </c>
      <c r="L457" s="12">
        <v>917139.06</v>
      </c>
      <c r="M457" s="17">
        <v>311033.34000000003</v>
      </c>
      <c r="N457" s="17">
        <v>51.32</v>
      </c>
      <c r="O457" s="16" t="s">
        <v>33</v>
      </c>
      <c r="P457" s="12">
        <v>0.38390000000000002</v>
      </c>
      <c r="Q457" s="12">
        <v>1.35</v>
      </c>
    </row>
    <row r="458" spans="1:17" x14ac:dyDescent="0.35">
      <c r="A458" s="18" t="s">
        <v>876</v>
      </c>
      <c r="B458" s="18" t="s">
        <v>877</v>
      </c>
      <c r="C458" s="19" t="s">
        <v>103</v>
      </c>
      <c r="D458" s="18" t="s">
        <v>104</v>
      </c>
      <c r="E458" s="20" t="s">
        <v>22</v>
      </c>
      <c r="F458" s="21" t="s">
        <v>38</v>
      </c>
      <c r="G458" s="18" t="s">
        <v>65</v>
      </c>
      <c r="H458" s="18">
        <v>309.04000000000002</v>
      </c>
      <c r="I458" s="18">
        <v>388.82</v>
      </c>
      <c r="J458" s="18">
        <v>1028</v>
      </c>
      <c r="K458" s="18">
        <v>317693.12</v>
      </c>
      <c r="L458" s="18">
        <v>399706.96</v>
      </c>
      <c r="M458" s="22">
        <v>82013.84</v>
      </c>
      <c r="N458" s="22">
        <v>25.82</v>
      </c>
      <c r="O458" s="23" t="s">
        <v>33</v>
      </c>
      <c r="P458" s="18">
        <v>0.24160000000000001</v>
      </c>
      <c r="Q458" s="18">
        <v>1.69</v>
      </c>
    </row>
    <row r="459" spans="1:17" x14ac:dyDescent="0.35">
      <c r="A459" s="12" t="s">
        <v>878</v>
      </c>
      <c r="B459" s="12" t="s">
        <v>879</v>
      </c>
      <c r="C459" s="13" t="s">
        <v>48</v>
      </c>
      <c r="D459" s="12" t="s">
        <v>49</v>
      </c>
      <c r="E459" s="14" t="s">
        <v>50</v>
      </c>
      <c r="F459" s="15" t="s">
        <v>38</v>
      </c>
      <c r="G459" s="12" t="s">
        <v>39</v>
      </c>
      <c r="H459" s="12">
        <v>61.03</v>
      </c>
      <c r="I459" s="12">
        <v>56.13</v>
      </c>
      <c r="J459" s="12">
        <v>459</v>
      </c>
      <c r="K459" s="12">
        <v>28012.77</v>
      </c>
      <c r="L459" s="12">
        <v>25763.67</v>
      </c>
      <c r="M459" s="16">
        <v>-2249.1</v>
      </c>
      <c r="N459" s="16">
        <v>-8.0299999999999994</v>
      </c>
      <c r="O459" s="25" t="s">
        <v>45</v>
      </c>
      <c r="P459" s="12">
        <v>0.25769999999999998</v>
      </c>
      <c r="Q459" s="12">
        <v>0.7</v>
      </c>
    </row>
    <row r="460" spans="1:17" x14ac:dyDescent="0.35">
      <c r="A460" s="18" t="s">
        <v>880</v>
      </c>
      <c r="B460" s="18" t="s">
        <v>881</v>
      </c>
      <c r="C460" s="19" t="s">
        <v>20</v>
      </c>
      <c r="D460" s="18" t="s">
        <v>21</v>
      </c>
      <c r="E460" s="20" t="s">
        <v>22</v>
      </c>
      <c r="F460" s="21" t="s">
        <v>31</v>
      </c>
      <c r="G460" s="18" t="s">
        <v>32</v>
      </c>
      <c r="H460" s="18">
        <v>630.66</v>
      </c>
      <c r="I460" s="18">
        <v>896.49</v>
      </c>
      <c r="J460" s="18">
        <v>1826</v>
      </c>
      <c r="K460" s="18">
        <v>1151585.1599999999</v>
      </c>
      <c r="L460" s="18">
        <v>1636990.74</v>
      </c>
      <c r="M460" s="22">
        <v>485405.58</v>
      </c>
      <c r="N460" s="22">
        <v>42.15</v>
      </c>
      <c r="O460" s="23" t="s">
        <v>33</v>
      </c>
      <c r="P460" s="18">
        <v>0.4919</v>
      </c>
      <c r="Q460" s="18">
        <v>1.1100000000000001</v>
      </c>
    </row>
    <row r="461" spans="1:17" x14ac:dyDescent="0.35">
      <c r="A461" s="12" t="s">
        <v>882</v>
      </c>
      <c r="B461" s="12" t="s">
        <v>883</v>
      </c>
      <c r="C461" s="13" t="s">
        <v>20</v>
      </c>
      <c r="D461" s="12" t="s">
        <v>21</v>
      </c>
      <c r="E461" s="14" t="s">
        <v>22</v>
      </c>
      <c r="F461" s="15" t="s">
        <v>31</v>
      </c>
      <c r="G461" s="12" t="s">
        <v>32</v>
      </c>
      <c r="H461" s="12">
        <v>514.28</v>
      </c>
      <c r="I461" s="12">
        <v>710.64</v>
      </c>
      <c r="J461" s="12">
        <v>1359</v>
      </c>
      <c r="K461" s="12">
        <v>698906.52</v>
      </c>
      <c r="L461" s="12">
        <v>965759.76</v>
      </c>
      <c r="M461" s="17">
        <v>266853.24</v>
      </c>
      <c r="N461" s="17">
        <v>38.18</v>
      </c>
      <c r="O461" s="16" t="s">
        <v>33</v>
      </c>
      <c r="P461" s="12">
        <v>0.1363</v>
      </c>
      <c r="Q461" s="12">
        <v>0.69</v>
      </c>
    </row>
    <row r="462" spans="1:17" x14ac:dyDescent="0.35">
      <c r="A462" s="18" t="s">
        <v>884</v>
      </c>
      <c r="B462" s="18" t="s">
        <v>885</v>
      </c>
      <c r="C462" s="19" t="s">
        <v>170</v>
      </c>
      <c r="D462" s="18" t="s">
        <v>171</v>
      </c>
      <c r="E462" s="20" t="s">
        <v>97</v>
      </c>
      <c r="F462" s="21" t="s">
        <v>62</v>
      </c>
      <c r="G462" s="18" t="s">
        <v>32</v>
      </c>
      <c r="H462" s="18">
        <v>162.88</v>
      </c>
      <c r="I462" s="18">
        <v>189.81</v>
      </c>
      <c r="J462" s="18">
        <v>1964</v>
      </c>
      <c r="K462" s="18">
        <v>319896.32000000001</v>
      </c>
      <c r="L462" s="18">
        <v>372786.84</v>
      </c>
      <c r="M462" s="22">
        <v>52890.52</v>
      </c>
      <c r="N462" s="22">
        <v>16.53</v>
      </c>
      <c r="O462" s="24" t="s">
        <v>45</v>
      </c>
      <c r="P462" s="18">
        <v>0.314</v>
      </c>
      <c r="Q462" s="18">
        <v>1.0900000000000001</v>
      </c>
    </row>
    <row r="463" spans="1:17" x14ac:dyDescent="0.35">
      <c r="A463" s="12" t="s">
        <v>886</v>
      </c>
      <c r="B463" s="12" t="s">
        <v>563</v>
      </c>
      <c r="C463" s="13" t="s">
        <v>215</v>
      </c>
      <c r="D463" s="12" t="s">
        <v>216</v>
      </c>
      <c r="E463" s="14" t="s">
        <v>50</v>
      </c>
      <c r="F463" s="15" t="s">
        <v>31</v>
      </c>
      <c r="G463" s="12" t="s">
        <v>32</v>
      </c>
      <c r="H463" s="12">
        <v>136.28</v>
      </c>
      <c r="I463" s="12">
        <v>188.64</v>
      </c>
      <c r="J463" s="12">
        <v>4481</v>
      </c>
      <c r="K463" s="12">
        <v>610670.68000000005</v>
      </c>
      <c r="L463" s="12">
        <v>845295.84</v>
      </c>
      <c r="M463" s="17">
        <v>234625.16</v>
      </c>
      <c r="N463" s="17">
        <v>38.42</v>
      </c>
      <c r="O463" s="16" t="s">
        <v>33</v>
      </c>
      <c r="P463" s="12">
        <v>0.1472</v>
      </c>
      <c r="Q463" s="12">
        <v>1.5</v>
      </c>
    </row>
    <row r="464" spans="1:17" x14ac:dyDescent="0.35">
      <c r="A464" s="18" t="s">
        <v>887</v>
      </c>
      <c r="B464" s="18" t="s">
        <v>762</v>
      </c>
      <c r="C464" s="19" t="s">
        <v>103</v>
      </c>
      <c r="D464" s="18" t="s">
        <v>104</v>
      </c>
      <c r="E464" s="20" t="s">
        <v>22</v>
      </c>
      <c r="F464" s="21" t="s">
        <v>98</v>
      </c>
      <c r="G464" s="18" t="s">
        <v>32</v>
      </c>
      <c r="H464" s="18">
        <v>282.19</v>
      </c>
      <c r="I464" s="18">
        <v>403.76</v>
      </c>
      <c r="J464" s="18">
        <v>4219</v>
      </c>
      <c r="K464" s="18">
        <v>1190559.6100000001</v>
      </c>
      <c r="L464" s="18">
        <v>1703463.44</v>
      </c>
      <c r="M464" s="22">
        <v>512903.83</v>
      </c>
      <c r="N464" s="22">
        <v>43.08</v>
      </c>
      <c r="O464" s="23" t="s">
        <v>33</v>
      </c>
      <c r="P464" s="18">
        <v>0.24959999999999999</v>
      </c>
      <c r="Q464" s="18">
        <v>0.7</v>
      </c>
    </row>
    <row r="465" spans="1:17" x14ac:dyDescent="0.35">
      <c r="A465" s="12" t="s">
        <v>888</v>
      </c>
      <c r="B465" s="12" t="s">
        <v>76</v>
      </c>
      <c r="C465" s="13" t="s">
        <v>119</v>
      </c>
      <c r="D465" s="12" t="s">
        <v>120</v>
      </c>
      <c r="E465" s="14" t="s">
        <v>44</v>
      </c>
      <c r="F465" s="15" t="s">
        <v>31</v>
      </c>
      <c r="G465" s="12" t="s">
        <v>32</v>
      </c>
      <c r="H465" s="12">
        <v>43.05</v>
      </c>
      <c r="I465" s="12">
        <v>44.51</v>
      </c>
      <c r="J465" s="12">
        <v>3982</v>
      </c>
      <c r="K465" s="12">
        <v>171425.1</v>
      </c>
      <c r="L465" s="12">
        <v>177238.82</v>
      </c>
      <c r="M465" s="17">
        <v>5813.72</v>
      </c>
      <c r="N465" s="17">
        <v>3.39</v>
      </c>
      <c r="O465" s="17" t="s">
        <v>25</v>
      </c>
      <c r="P465" s="12">
        <v>0.44109999999999999</v>
      </c>
      <c r="Q465" s="12">
        <v>1.56</v>
      </c>
    </row>
    <row r="466" spans="1:17" x14ac:dyDescent="0.35">
      <c r="A466" s="18" t="s">
        <v>889</v>
      </c>
      <c r="B466" s="18" t="s">
        <v>890</v>
      </c>
      <c r="C466" s="19" t="s">
        <v>36</v>
      </c>
      <c r="D466" s="18" t="s">
        <v>37</v>
      </c>
      <c r="E466" s="20" t="s">
        <v>30</v>
      </c>
      <c r="F466" s="21" t="s">
        <v>98</v>
      </c>
      <c r="G466" s="18" t="s">
        <v>32</v>
      </c>
      <c r="H466" s="18">
        <v>238.82</v>
      </c>
      <c r="I466" s="18">
        <v>212.03</v>
      </c>
      <c r="J466" s="18">
        <v>3156</v>
      </c>
      <c r="K466" s="18">
        <v>753715.92</v>
      </c>
      <c r="L466" s="18">
        <v>669166.68000000005</v>
      </c>
      <c r="M466" s="23">
        <v>-84549.24</v>
      </c>
      <c r="N466" s="23">
        <v>-11.22</v>
      </c>
      <c r="O466" s="24" t="s">
        <v>45</v>
      </c>
      <c r="P466" s="18">
        <v>0.49609999999999999</v>
      </c>
      <c r="Q466" s="18">
        <v>0.77</v>
      </c>
    </row>
    <row r="467" spans="1:17" x14ac:dyDescent="0.35">
      <c r="A467" s="12" t="s">
        <v>891</v>
      </c>
      <c r="B467" s="12" t="s">
        <v>892</v>
      </c>
      <c r="C467" s="13" t="s">
        <v>103</v>
      </c>
      <c r="D467" s="12" t="s">
        <v>104</v>
      </c>
      <c r="E467" s="14" t="s">
        <v>22</v>
      </c>
      <c r="F467" s="15" t="s">
        <v>62</v>
      </c>
      <c r="G467" s="12" t="s">
        <v>32</v>
      </c>
      <c r="H467" s="12">
        <v>362.91</v>
      </c>
      <c r="I467" s="12">
        <v>396.76</v>
      </c>
      <c r="J467" s="12">
        <v>4585</v>
      </c>
      <c r="K467" s="12">
        <v>1663942.35</v>
      </c>
      <c r="L467" s="12">
        <v>1819144.6</v>
      </c>
      <c r="M467" s="17">
        <v>155202.25</v>
      </c>
      <c r="N467" s="17">
        <v>9.33</v>
      </c>
      <c r="O467" s="25" t="s">
        <v>45</v>
      </c>
      <c r="P467" s="12">
        <v>0.44180000000000003</v>
      </c>
      <c r="Q467" s="12">
        <v>1.68</v>
      </c>
    </row>
    <row r="468" spans="1:17" x14ac:dyDescent="0.35">
      <c r="A468" s="18" t="s">
        <v>893</v>
      </c>
      <c r="B468" s="18" t="s">
        <v>894</v>
      </c>
      <c r="C468" s="19" t="s">
        <v>48</v>
      </c>
      <c r="D468" s="18" t="s">
        <v>49</v>
      </c>
      <c r="E468" s="20" t="s">
        <v>50</v>
      </c>
      <c r="F468" s="21" t="s">
        <v>62</v>
      </c>
      <c r="G468" s="18" t="s">
        <v>32</v>
      </c>
      <c r="H468" s="18">
        <v>58.39</v>
      </c>
      <c r="I468" s="18">
        <v>60.41</v>
      </c>
      <c r="J468" s="18">
        <v>1266</v>
      </c>
      <c r="K468" s="18">
        <v>73921.740000000005</v>
      </c>
      <c r="L468" s="18">
        <v>76479.06</v>
      </c>
      <c r="M468" s="22">
        <v>2557.3200000000002</v>
      </c>
      <c r="N468" s="22">
        <v>3.46</v>
      </c>
      <c r="O468" s="22" t="s">
        <v>25</v>
      </c>
      <c r="P468" s="18">
        <v>0.47889999999999999</v>
      </c>
      <c r="Q468" s="18">
        <v>0.83</v>
      </c>
    </row>
    <row r="469" spans="1:17" x14ac:dyDescent="0.35">
      <c r="A469" s="12" t="s">
        <v>895</v>
      </c>
      <c r="B469" s="12" t="s">
        <v>896</v>
      </c>
      <c r="C469" s="13" t="s">
        <v>170</v>
      </c>
      <c r="D469" s="12" t="s">
        <v>171</v>
      </c>
      <c r="E469" s="14" t="s">
        <v>97</v>
      </c>
      <c r="F469" s="15" t="s">
        <v>62</v>
      </c>
      <c r="G469" s="12" t="s">
        <v>32</v>
      </c>
      <c r="H469" s="12">
        <v>151.29</v>
      </c>
      <c r="I469" s="12">
        <v>140.88</v>
      </c>
      <c r="J469" s="12">
        <v>3878</v>
      </c>
      <c r="K469" s="12">
        <v>586702.62</v>
      </c>
      <c r="L469" s="12">
        <v>546332.64</v>
      </c>
      <c r="M469" s="16">
        <v>-40369.980000000003</v>
      </c>
      <c r="N469" s="16">
        <v>-6.88</v>
      </c>
      <c r="O469" s="17" t="s">
        <v>25</v>
      </c>
      <c r="P469" s="12">
        <v>0.4088</v>
      </c>
      <c r="Q469" s="12">
        <v>0.9</v>
      </c>
    </row>
    <row r="470" spans="1:17" x14ac:dyDescent="0.35">
      <c r="A470" s="18" t="s">
        <v>897</v>
      </c>
      <c r="B470" s="18" t="s">
        <v>898</v>
      </c>
      <c r="C470" s="19" t="s">
        <v>95</v>
      </c>
      <c r="D470" s="18" t="s">
        <v>96</v>
      </c>
      <c r="E470" s="20" t="s">
        <v>97</v>
      </c>
      <c r="F470" s="21" t="s">
        <v>98</v>
      </c>
      <c r="G470" s="18" t="s">
        <v>39</v>
      </c>
      <c r="H470" s="18">
        <v>195.46</v>
      </c>
      <c r="I470" s="18">
        <v>180.12</v>
      </c>
      <c r="J470" s="18">
        <v>3025</v>
      </c>
      <c r="K470" s="18">
        <v>591266.5</v>
      </c>
      <c r="L470" s="18">
        <v>544863</v>
      </c>
      <c r="M470" s="23">
        <v>-46403.5</v>
      </c>
      <c r="N470" s="23">
        <v>-7.85</v>
      </c>
      <c r="O470" s="22" t="s">
        <v>25</v>
      </c>
      <c r="P470" s="18">
        <v>0.16300000000000001</v>
      </c>
      <c r="Q470" s="18">
        <v>1.34</v>
      </c>
    </row>
    <row r="471" spans="1:17" x14ac:dyDescent="0.35">
      <c r="A471" s="12" t="s">
        <v>899</v>
      </c>
      <c r="B471" s="12" t="s">
        <v>695</v>
      </c>
      <c r="C471" s="13" t="s">
        <v>95</v>
      </c>
      <c r="D471" s="12" t="s">
        <v>96</v>
      </c>
      <c r="E471" s="14" t="s">
        <v>97</v>
      </c>
      <c r="F471" s="15" t="s">
        <v>38</v>
      </c>
      <c r="G471" s="12" t="s">
        <v>39</v>
      </c>
      <c r="H471" s="12">
        <v>227.68</v>
      </c>
      <c r="I471" s="12">
        <v>173.18</v>
      </c>
      <c r="J471" s="12">
        <v>2789</v>
      </c>
      <c r="K471" s="12">
        <v>634999.52</v>
      </c>
      <c r="L471" s="12">
        <v>482999.02</v>
      </c>
      <c r="M471" s="16">
        <v>-152000.5</v>
      </c>
      <c r="N471" s="16">
        <v>-23.94</v>
      </c>
      <c r="O471" s="16" t="s">
        <v>33</v>
      </c>
      <c r="P471" s="12">
        <v>0.37119999999999997</v>
      </c>
      <c r="Q471" s="12">
        <v>1.28</v>
      </c>
    </row>
    <row r="472" spans="1:17" x14ac:dyDescent="0.35">
      <c r="A472" s="18" t="s">
        <v>900</v>
      </c>
      <c r="B472" s="18" t="s">
        <v>901</v>
      </c>
      <c r="C472" s="19" t="s">
        <v>48</v>
      </c>
      <c r="D472" s="18" t="s">
        <v>49</v>
      </c>
      <c r="E472" s="20" t="s">
        <v>50</v>
      </c>
      <c r="F472" s="21" t="s">
        <v>23</v>
      </c>
      <c r="G472" s="18" t="s">
        <v>32</v>
      </c>
      <c r="H472" s="18">
        <v>61.36</v>
      </c>
      <c r="I472" s="18">
        <v>87.74</v>
      </c>
      <c r="J472" s="18">
        <v>139</v>
      </c>
      <c r="K472" s="18">
        <v>8529.0400000000009</v>
      </c>
      <c r="L472" s="18">
        <v>12195.86</v>
      </c>
      <c r="M472" s="22">
        <v>3666.82</v>
      </c>
      <c r="N472" s="22">
        <v>42.99</v>
      </c>
      <c r="O472" s="23" t="s">
        <v>33</v>
      </c>
      <c r="P472" s="18">
        <v>0.42620000000000002</v>
      </c>
      <c r="Q472" s="18">
        <v>1.37</v>
      </c>
    </row>
    <row r="473" spans="1:17" x14ac:dyDescent="0.35">
      <c r="A473" s="12" t="s">
        <v>902</v>
      </c>
      <c r="B473" s="12" t="s">
        <v>903</v>
      </c>
      <c r="C473" s="13" t="s">
        <v>83</v>
      </c>
      <c r="D473" s="12" t="s">
        <v>84</v>
      </c>
      <c r="E473" s="14" t="s">
        <v>55</v>
      </c>
      <c r="F473" s="15" t="s">
        <v>98</v>
      </c>
      <c r="G473" s="12" t="s">
        <v>32</v>
      </c>
      <c r="H473" s="12">
        <v>375.76</v>
      </c>
      <c r="I473" s="12">
        <v>425.03</v>
      </c>
      <c r="J473" s="12">
        <v>4031</v>
      </c>
      <c r="K473" s="12">
        <v>1514688.56</v>
      </c>
      <c r="L473" s="12">
        <v>1713295.93</v>
      </c>
      <c r="M473" s="17">
        <v>198607.37</v>
      </c>
      <c r="N473" s="17">
        <v>13.11</v>
      </c>
      <c r="O473" s="25" t="s">
        <v>45</v>
      </c>
      <c r="P473" s="12">
        <v>0.25140000000000001</v>
      </c>
      <c r="Q473" s="12">
        <v>1.26</v>
      </c>
    </row>
    <row r="474" spans="1:17" x14ac:dyDescent="0.35">
      <c r="A474" s="18" t="s">
        <v>904</v>
      </c>
      <c r="B474" s="18" t="s">
        <v>222</v>
      </c>
      <c r="C474" s="19" t="s">
        <v>170</v>
      </c>
      <c r="D474" s="18" t="s">
        <v>171</v>
      </c>
      <c r="E474" s="20" t="s">
        <v>97</v>
      </c>
      <c r="F474" s="21" t="s">
        <v>98</v>
      </c>
      <c r="G474" s="18" t="s">
        <v>32</v>
      </c>
      <c r="H474" s="18">
        <v>162.02000000000001</v>
      </c>
      <c r="I474" s="18">
        <v>164.86</v>
      </c>
      <c r="J474" s="18">
        <v>1246</v>
      </c>
      <c r="K474" s="18">
        <v>201876.92</v>
      </c>
      <c r="L474" s="18">
        <v>205415.56</v>
      </c>
      <c r="M474" s="22">
        <v>3538.64</v>
      </c>
      <c r="N474" s="22">
        <v>1.75</v>
      </c>
      <c r="O474" s="22" t="s">
        <v>25</v>
      </c>
      <c r="P474" s="18">
        <v>0.43540000000000001</v>
      </c>
      <c r="Q474" s="18">
        <v>1.35</v>
      </c>
    </row>
    <row r="475" spans="1:17" x14ac:dyDescent="0.35">
      <c r="A475" s="12" t="s">
        <v>905</v>
      </c>
      <c r="B475" s="12" t="s">
        <v>808</v>
      </c>
      <c r="C475" s="13" t="s">
        <v>60</v>
      </c>
      <c r="D475" s="12" t="s">
        <v>61</v>
      </c>
      <c r="E475" s="14" t="s">
        <v>22</v>
      </c>
      <c r="F475" s="15" t="s">
        <v>62</v>
      </c>
      <c r="G475" s="12" t="s">
        <v>32</v>
      </c>
      <c r="H475" s="12">
        <v>136.02000000000001</v>
      </c>
      <c r="I475" s="12">
        <v>175.88</v>
      </c>
      <c r="J475" s="12">
        <v>4842</v>
      </c>
      <c r="K475" s="12">
        <v>658608.84</v>
      </c>
      <c r="L475" s="12">
        <v>851610.96</v>
      </c>
      <c r="M475" s="17">
        <v>193002.12</v>
      </c>
      <c r="N475" s="17">
        <v>29.3</v>
      </c>
      <c r="O475" s="16" t="s">
        <v>33</v>
      </c>
      <c r="P475" s="12">
        <v>0.50970000000000004</v>
      </c>
      <c r="Q475" s="12">
        <v>1.26</v>
      </c>
    </row>
    <row r="476" spans="1:17" x14ac:dyDescent="0.35">
      <c r="A476" s="18" t="s">
        <v>906</v>
      </c>
      <c r="B476" s="18" t="s">
        <v>94</v>
      </c>
      <c r="C476" s="19" t="s">
        <v>36</v>
      </c>
      <c r="D476" s="18" t="s">
        <v>37</v>
      </c>
      <c r="E476" s="20" t="s">
        <v>30</v>
      </c>
      <c r="F476" s="21" t="s">
        <v>23</v>
      </c>
      <c r="G476" s="18" t="s">
        <v>39</v>
      </c>
      <c r="H476" s="18">
        <v>203.23</v>
      </c>
      <c r="I476" s="18">
        <v>209.34</v>
      </c>
      <c r="J476" s="18">
        <v>3096</v>
      </c>
      <c r="K476" s="18">
        <v>629200.07999999996</v>
      </c>
      <c r="L476" s="18">
        <v>648116.64</v>
      </c>
      <c r="M476" s="22">
        <v>18916.560000000001</v>
      </c>
      <c r="N476" s="22">
        <v>3.01</v>
      </c>
      <c r="O476" s="22" t="s">
        <v>25</v>
      </c>
      <c r="P476" s="18">
        <v>0.3735</v>
      </c>
      <c r="Q476" s="18">
        <v>1.63</v>
      </c>
    </row>
    <row r="477" spans="1:17" x14ac:dyDescent="0.35">
      <c r="A477" s="12" t="s">
        <v>907</v>
      </c>
      <c r="B477" s="12" t="s">
        <v>908</v>
      </c>
      <c r="C477" s="13" t="s">
        <v>87</v>
      </c>
      <c r="D477" s="12" t="s">
        <v>88</v>
      </c>
      <c r="E477" s="14" t="s">
        <v>22</v>
      </c>
      <c r="F477" s="15" t="s">
        <v>38</v>
      </c>
      <c r="G477" s="12" t="s">
        <v>32</v>
      </c>
      <c r="H477" s="12">
        <v>350.23</v>
      </c>
      <c r="I477" s="12">
        <v>470.67</v>
      </c>
      <c r="J477" s="12">
        <v>3080</v>
      </c>
      <c r="K477" s="12">
        <v>1078708.3999999999</v>
      </c>
      <c r="L477" s="12">
        <v>1449663.6</v>
      </c>
      <c r="M477" s="17">
        <v>370955.2</v>
      </c>
      <c r="N477" s="17">
        <v>34.39</v>
      </c>
      <c r="O477" s="16" t="s">
        <v>33</v>
      </c>
      <c r="P477" s="12">
        <v>0.48459999999999998</v>
      </c>
      <c r="Q477" s="12">
        <v>1.57</v>
      </c>
    </row>
    <row r="478" spans="1:17" x14ac:dyDescent="0.35">
      <c r="A478" s="18" t="s">
        <v>909</v>
      </c>
      <c r="B478" s="18" t="s">
        <v>910</v>
      </c>
      <c r="C478" s="19" t="s">
        <v>53</v>
      </c>
      <c r="D478" s="18" t="s">
        <v>54</v>
      </c>
      <c r="E478" s="20" t="s">
        <v>55</v>
      </c>
      <c r="F478" s="21" t="s">
        <v>62</v>
      </c>
      <c r="G478" s="18" t="s">
        <v>32</v>
      </c>
      <c r="H478" s="18">
        <v>88.55</v>
      </c>
      <c r="I478" s="18">
        <v>89.03</v>
      </c>
      <c r="J478" s="18">
        <v>1249</v>
      </c>
      <c r="K478" s="18">
        <v>110598.95</v>
      </c>
      <c r="L478" s="18">
        <v>111198.47</v>
      </c>
      <c r="M478" s="22">
        <v>599.52</v>
      </c>
      <c r="N478" s="22">
        <v>0.54</v>
      </c>
      <c r="O478" s="22" t="s">
        <v>25</v>
      </c>
      <c r="P478" s="18">
        <v>0.52790000000000004</v>
      </c>
      <c r="Q478" s="18">
        <v>1.39</v>
      </c>
    </row>
    <row r="479" spans="1:17" x14ac:dyDescent="0.35">
      <c r="A479" s="12" t="s">
        <v>911</v>
      </c>
      <c r="B479" s="12" t="s">
        <v>912</v>
      </c>
      <c r="C479" s="13" t="s">
        <v>87</v>
      </c>
      <c r="D479" s="12" t="s">
        <v>88</v>
      </c>
      <c r="E479" s="14" t="s">
        <v>22</v>
      </c>
      <c r="F479" s="15" t="s">
        <v>31</v>
      </c>
      <c r="G479" s="12" t="s">
        <v>65</v>
      </c>
      <c r="H479" s="12">
        <v>377.45</v>
      </c>
      <c r="I479" s="12">
        <v>393.39</v>
      </c>
      <c r="J479" s="12">
        <v>1892</v>
      </c>
      <c r="K479" s="12">
        <v>714135.4</v>
      </c>
      <c r="L479" s="12">
        <v>744293.88</v>
      </c>
      <c r="M479" s="17">
        <v>30158.48</v>
      </c>
      <c r="N479" s="17">
        <v>4.22</v>
      </c>
      <c r="O479" s="17" t="s">
        <v>25</v>
      </c>
      <c r="P479" s="12">
        <v>0.23369999999999999</v>
      </c>
      <c r="Q479" s="12">
        <v>0.88</v>
      </c>
    </row>
    <row r="480" spans="1:17" x14ac:dyDescent="0.35">
      <c r="A480" s="18" t="s">
        <v>913</v>
      </c>
      <c r="B480" s="18" t="s">
        <v>914</v>
      </c>
      <c r="C480" s="19" t="s">
        <v>95</v>
      </c>
      <c r="D480" s="18" t="s">
        <v>96</v>
      </c>
      <c r="E480" s="20" t="s">
        <v>97</v>
      </c>
      <c r="F480" s="21" t="s">
        <v>38</v>
      </c>
      <c r="G480" s="18" t="s">
        <v>65</v>
      </c>
      <c r="H480" s="18">
        <v>247.58</v>
      </c>
      <c r="I480" s="18">
        <v>370.65</v>
      </c>
      <c r="J480" s="18">
        <v>3947</v>
      </c>
      <c r="K480" s="18">
        <v>977198.26</v>
      </c>
      <c r="L480" s="18">
        <v>1462955.55</v>
      </c>
      <c r="M480" s="22">
        <v>485757.29</v>
      </c>
      <c r="N480" s="22">
        <v>49.71</v>
      </c>
      <c r="O480" s="23" t="s">
        <v>33</v>
      </c>
      <c r="P480" s="18">
        <v>0.13719999999999999</v>
      </c>
      <c r="Q480" s="18">
        <v>1.38</v>
      </c>
    </row>
    <row r="481" spans="1:17" x14ac:dyDescent="0.35">
      <c r="A481" s="12" t="s">
        <v>915</v>
      </c>
      <c r="B481" s="12" t="s">
        <v>356</v>
      </c>
      <c r="C481" s="13" t="s">
        <v>20</v>
      </c>
      <c r="D481" s="12" t="s">
        <v>21</v>
      </c>
      <c r="E481" s="14" t="s">
        <v>22</v>
      </c>
      <c r="F481" s="15" t="s">
        <v>98</v>
      </c>
      <c r="G481" s="12" t="s">
        <v>24</v>
      </c>
      <c r="H481" s="12">
        <v>607.98</v>
      </c>
      <c r="I481" s="12">
        <v>609.01</v>
      </c>
      <c r="J481" s="12">
        <v>4840</v>
      </c>
      <c r="K481" s="12">
        <v>2942623.2</v>
      </c>
      <c r="L481" s="12">
        <v>2947608.4</v>
      </c>
      <c r="M481" s="17">
        <v>4985.2</v>
      </c>
      <c r="N481" s="17">
        <v>0.17</v>
      </c>
      <c r="O481" s="17" t="s">
        <v>25</v>
      </c>
      <c r="P481" s="12">
        <v>0.40110000000000001</v>
      </c>
      <c r="Q481" s="12">
        <v>1.04</v>
      </c>
    </row>
    <row r="482" spans="1:17" x14ac:dyDescent="0.35">
      <c r="A482" s="18" t="s">
        <v>916</v>
      </c>
      <c r="B482" s="18" t="s">
        <v>917</v>
      </c>
      <c r="C482" s="19" t="s">
        <v>60</v>
      </c>
      <c r="D482" s="18" t="s">
        <v>61</v>
      </c>
      <c r="E482" s="20" t="s">
        <v>22</v>
      </c>
      <c r="F482" s="21" t="s">
        <v>38</v>
      </c>
      <c r="G482" s="18" t="s">
        <v>24</v>
      </c>
      <c r="H482" s="18">
        <v>140.69</v>
      </c>
      <c r="I482" s="18">
        <v>158.56</v>
      </c>
      <c r="J482" s="18">
        <v>1925</v>
      </c>
      <c r="K482" s="18">
        <v>270828.25</v>
      </c>
      <c r="L482" s="18">
        <v>305228</v>
      </c>
      <c r="M482" s="22">
        <v>34399.75</v>
      </c>
      <c r="N482" s="22">
        <v>12.7</v>
      </c>
      <c r="O482" s="24" t="s">
        <v>45</v>
      </c>
      <c r="P482" s="18">
        <v>0.49309999999999998</v>
      </c>
      <c r="Q482" s="18">
        <v>1.18</v>
      </c>
    </row>
    <row r="483" spans="1:17" x14ac:dyDescent="0.35">
      <c r="A483" s="12" t="s">
        <v>918</v>
      </c>
      <c r="B483" s="12" t="s">
        <v>47</v>
      </c>
      <c r="C483" s="13" t="s">
        <v>115</v>
      </c>
      <c r="D483" s="12" t="s">
        <v>116</v>
      </c>
      <c r="E483" s="14" t="s">
        <v>55</v>
      </c>
      <c r="F483" s="15" t="s">
        <v>62</v>
      </c>
      <c r="G483" s="12" t="s">
        <v>32</v>
      </c>
      <c r="H483" s="12">
        <v>765.94</v>
      </c>
      <c r="I483" s="12">
        <v>797.34</v>
      </c>
      <c r="J483" s="12">
        <v>1238</v>
      </c>
      <c r="K483" s="12">
        <v>948233.72</v>
      </c>
      <c r="L483" s="12">
        <v>987106.92</v>
      </c>
      <c r="M483" s="17">
        <v>38873.199999999997</v>
      </c>
      <c r="N483" s="17">
        <v>4.0999999999999996</v>
      </c>
      <c r="O483" s="17" t="s">
        <v>25</v>
      </c>
      <c r="P483" s="12">
        <v>0.34129999999999999</v>
      </c>
      <c r="Q483" s="12">
        <v>0.94</v>
      </c>
    </row>
    <row r="484" spans="1:17" x14ac:dyDescent="0.35">
      <c r="A484" s="18" t="s">
        <v>919</v>
      </c>
      <c r="B484" s="18" t="s">
        <v>618</v>
      </c>
      <c r="C484" s="19" t="s">
        <v>87</v>
      </c>
      <c r="D484" s="18" t="s">
        <v>88</v>
      </c>
      <c r="E484" s="20" t="s">
        <v>22</v>
      </c>
      <c r="F484" s="21" t="s">
        <v>98</v>
      </c>
      <c r="G484" s="18" t="s">
        <v>32</v>
      </c>
      <c r="H484" s="18">
        <v>366.92</v>
      </c>
      <c r="I484" s="18">
        <v>429.38</v>
      </c>
      <c r="J484" s="18">
        <v>1069</v>
      </c>
      <c r="K484" s="18">
        <v>392237.48</v>
      </c>
      <c r="L484" s="18">
        <v>459007.22</v>
      </c>
      <c r="M484" s="22">
        <v>66769.740000000005</v>
      </c>
      <c r="N484" s="22">
        <v>17.02</v>
      </c>
      <c r="O484" s="24" t="s">
        <v>45</v>
      </c>
      <c r="P484" s="18">
        <v>0.26200000000000001</v>
      </c>
      <c r="Q484" s="18">
        <v>0.74</v>
      </c>
    </row>
    <row r="485" spans="1:17" x14ac:dyDescent="0.35">
      <c r="A485" s="12" t="s">
        <v>920</v>
      </c>
      <c r="B485" s="12" t="s">
        <v>547</v>
      </c>
      <c r="C485" s="13" t="s">
        <v>115</v>
      </c>
      <c r="D485" s="12" t="s">
        <v>116</v>
      </c>
      <c r="E485" s="14" t="s">
        <v>55</v>
      </c>
      <c r="F485" s="15" t="s">
        <v>62</v>
      </c>
      <c r="G485" s="12" t="s">
        <v>39</v>
      </c>
      <c r="H485" s="12">
        <v>814.46</v>
      </c>
      <c r="I485" s="12">
        <v>658.91</v>
      </c>
      <c r="J485" s="12">
        <v>1420</v>
      </c>
      <c r="K485" s="12">
        <v>1156533.2</v>
      </c>
      <c r="L485" s="12">
        <v>935652.2</v>
      </c>
      <c r="M485" s="16">
        <v>-220881</v>
      </c>
      <c r="N485" s="16">
        <v>-19.100000000000001</v>
      </c>
      <c r="O485" s="25" t="s">
        <v>45</v>
      </c>
      <c r="P485" s="12">
        <v>0.2248</v>
      </c>
      <c r="Q485" s="12">
        <v>0.75</v>
      </c>
    </row>
    <row r="486" spans="1:17" x14ac:dyDescent="0.35">
      <c r="A486" s="18" t="s">
        <v>921</v>
      </c>
      <c r="B486" s="18" t="s">
        <v>858</v>
      </c>
      <c r="C486" s="19" t="s">
        <v>28</v>
      </c>
      <c r="D486" s="18" t="s">
        <v>29</v>
      </c>
      <c r="E486" s="20" t="s">
        <v>30</v>
      </c>
      <c r="F486" s="21" t="s">
        <v>62</v>
      </c>
      <c r="G486" s="18" t="s">
        <v>32</v>
      </c>
      <c r="H486" s="18">
        <v>268.14</v>
      </c>
      <c r="I486" s="18">
        <v>263.52999999999997</v>
      </c>
      <c r="J486" s="18">
        <v>421</v>
      </c>
      <c r="K486" s="18">
        <v>112886.94</v>
      </c>
      <c r="L486" s="18">
        <v>110946.13</v>
      </c>
      <c r="M486" s="23">
        <v>-1940.81</v>
      </c>
      <c r="N486" s="23">
        <v>-1.72</v>
      </c>
      <c r="O486" s="22" t="s">
        <v>25</v>
      </c>
      <c r="P486" s="18">
        <v>0.1915</v>
      </c>
      <c r="Q486" s="18">
        <v>1.71</v>
      </c>
    </row>
    <row r="487" spans="1:17" x14ac:dyDescent="0.35">
      <c r="A487" s="12" t="s">
        <v>922</v>
      </c>
      <c r="B487" s="12" t="s">
        <v>923</v>
      </c>
      <c r="C487" s="13" t="s">
        <v>72</v>
      </c>
      <c r="D487" s="12" t="s">
        <v>73</v>
      </c>
      <c r="E487" s="14" t="s">
        <v>74</v>
      </c>
      <c r="F487" s="15" t="s">
        <v>98</v>
      </c>
      <c r="G487" s="12" t="s">
        <v>32</v>
      </c>
      <c r="H487" s="12">
        <v>411.74</v>
      </c>
      <c r="I487" s="12">
        <v>537.14</v>
      </c>
      <c r="J487" s="12">
        <v>802</v>
      </c>
      <c r="K487" s="12">
        <v>330215.48</v>
      </c>
      <c r="L487" s="12">
        <v>430786.28</v>
      </c>
      <c r="M487" s="17">
        <v>100570.8</v>
      </c>
      <c r="N487" s="17">
        <v>30.46</v>
      </c>
      <c r="O487" s="16" t="s">
        <v>33</v>
      </c>
      <c r="P487" s="12">
        <v>0.32269999999999999</v>
      </c>
      <c r="Q487" s="12">
        <v>1.18</v>
      </c>
    </row>
    <row r="488" spans="1:17" x14ac:dyDescent="0.35">
      <c r="A488" s="18" t="s">
        <v>924</v>
      </c>
      <c r="B488" s="18" t="s">
        <v>108</v>
      </c>
      <c r="C488" s="19" t="s">
        <v>150</v>
      </c>
      <c r="D488" s="18" t="s">
        <v>151</v>
      </c>
      <c r="E488" s="20" t="s">
        <v>55</v>
      </c>
      <c r="F488" s="21" t="s">
        <v>62</v>
      </c>
      <c r="G488" s="18" t="s">
        <v>32</v>
      </c>
      <c r="H488" s="18">
        <v>160.72999999999999</v>
      </c>
      <c r="I488" s="18">
        <v>198.91</v>
      </c>
      <c r="J488" s="18">
        <v>1589</v>
      </c>
      <c r="K488" s="18">
        <v>255399.97</v>
      </c>
      <c r="L488" s="18">
        <v>316067.99</v>
      </c>
      <c r="M488" s="22">
        <v>60668.02</v>
      </c>
      <c r="N488" s="22">
        <v>23.75</v>
      </c>
      <c r="O488" s="23" t="s">
        <v>33</v>
      </c>
      <c r="P488" s="18">
        <v>0.19209999999999999</v>
      </c>
      <c r="Q488" s="18">
        <v>1.42</v>
      </c>
    </row>
    <row r="489" spans="1:17" x14ac:dyDescent="0.35">
      <c r="A489" s="12" t="s">
        <v>925</v>
      </c>
      <c r="B489" s="12" t="s">
        <v>348</v>
      </c>
      <c r="C489" s="13" t="s">
        <v>119</v>
      </c>
      <c r="D489" s="12" t="s">
        <v>120</v>
      </c>
      <c r="E489" s="14" t="s">
        <v>44</v>
      </c>
      <c r="F489" s="15" t="s">
        <v>23</v>
      </c>
      <c r="G489" s="12" t="s">
        <v>32</v>
      </c>
      <c r="H489" s="12">
        <v>46.35</v>
      </c>
      <c r="I489" s="12">
        <v>44.31</v>
      </c>
      <c r="J489" s="12">
        <v>3198</v>
      </c>
      <c r="K489" s="12">
        <v>148227.29999999999</v>
      </c>
      <c r="L489" s="12">
        <v>141703.38</v>
      </c>
      <c r="M489" s="16">
        <v>-6523.92</v>
      </c>
      <c r="N489" s="16">
        <v>-4.4000000000000004</v>
      </c>
      <c r="O489" s="17" t="s">
        <v>25</v>
      </c>
      <c r="P489" s="12">
        <v>0.20699999999999999</v>
      </c>
      <c r="Q489" s="12">
        <v>1.63</v>
      </c>
    </row>
    <row r="490" spans="1:17" x14ac:dyDescent="0.35">
      <c r="A490" s="18" t="s">
        <v>926</v>
      </c>
      <c r="B490" s="18" t="s">
        <v>910</v>
      </c>
      <c r="C490" s="19" t="s">
        <v>72</v>
      </c>
      <c r="D490" s="18" t="s">
        <v>73</v>
      </c>
      <c r="E490" s="20" t="s">
        <v>74</v>
      </c>
      <c r="F490" s="21" t="s">
        <v>23</v>
      </c>
      <c r="G490" s="18" t="s">
        <v>32</v>
      </c>
      <c r="H490" s="18">
        <v>406.45</v>
      </c>
      <c r="I490" s="18">
        <v>614.20000000000005</v>
      </c>
      <c r="J490" s="18">
        <v>888</v>
      </c>
      <c r="K490" s="18">
        <v>360927.6</v>
      </c>
      <c r="L490" s="18">
        <v>545409.6</v>
      </c>
      <c r="M490" s="22">
        <v>184482</v>
      </c>
      <c r="N490" s="22">
        <v>51.11</v>
      </c>
      <c r="O490" s="23" t="s">
        <v>33</v>
      </c>
      <c r="P490" s="18">
        <v>0.37790000000000001</v>
      </c>
      <c r="Q490" s="18">
        <v>1.65</v>
      </c>
    </row>
    <row r="491" spans="1:17" x14ac:dyDescent="0.35">
      <c r="A491" s="12" t="s">
        <v>927</v>
      </c>
      <c r="B491" s="12" t="s">
        <v>855</v>
      </c>
      <c r="C491" s="13" t="s">
        <v>36</v>
      </c>
      <c r="D491" s="12" t="s">
        <v>37</v>
      </c>
      <c r="E491" s="14" t="s">
        <v>30</v>
      </c>
      <c r="F491" s="15" t="s">
        <v>31</v>
      </c>
      <c r="G491" s="12" t="s">
        <v>32</v>
      </c>
      <c r="H491" s="12">
        <v>220.04</v>
      </c>
      <c r="I491" s="12">
        <v>332.57</v>
      </c>
      <c r="J491" s="12">
        <v>4050</v>
      </c>
      <c r="K491" s="12">
        <v>891162</v>
      </c>
      <c r="L491" s="12">
        <v>1346908.5</v>
      </c>
      <c r="M491" s="17">
        <v>455746.5</v>
      </c>
      <c r="N491" s="17">
        <v>51.14</v>
      </c>
      <c r="O491" s="16" t="s">
        <v>33</v>
      </c>
      <c r="P491" s="12">
        <v>0.35189999999999999</v>
      </c>
      <c r="Q491" s="12">
        <v>0.6</v>
      </c>
    </row>
    <row r="492" spans="1:17" x14ac:dyDescent="0.35">
      <c r="A492" s="18" t="s">
        <v>928</v>
      </c>
      <c r="B492" s="18" t="s">
        <v>843</v>
      </c>
      <c r="C492" s="19" t="s">
        <v>42</v>
      </c>
      <c r="D492" s="18" t="s">
        <v>43</v>
      </c>
      <c r="E492" s="20" t="s">
        <v>44</v>
      </c>
      <c r="F492" s="21" t="s">
        <v>98</v>
      </c>
      <c r="G492" s="18" t="s">
        <v>32</v>
      </c>
      <c r="H492" s="18">
        <v>582.61</v>
      </c>
      <c r="I492" s="18">
        <v>687.64</v>
      </c>
      <c r="J492" s="18">
        <v>455</v>
      </c>
      <c r="K492" s="18">
        <v>265087.55</v>
      </c>
      <c r="L492" s="18">
        <v>312876.2</v>
      </c>
      <c r="M492" s="22">
        <v>47788.65</v>
      </c>
      <c r="N492" s="22">
        <v>18.03</v>
      </c>
      <c r="O492" s="24" t="s">
        <v>45</v>
      </c>
      <c r="P492" s="18">
        <v>0.52349999999999997</v>
      </c>
      <c r="Q492" s="18">
        <v>1.18</v>
      </c>
    </row>
    <row r="493" spans="1:17" x14ac:dyDescent="0.35">
      <c r="A493" s="12" t="s">
        <v>929</v>
      </c>
      <c r="B493" s="12" t="s">
        <v>153</v>
      </c>
      <c r="C493" s="13" t="s">
        <v>77</v>
      </c>
      <c r="D493" s="12" t="s">
        <v>78</v>
      </c>
      <c r="E493" s="14" t="s">
        <v>44</v>
      </c>
      <c r="F493" s="15" t="s">
        <v>38</v>
      </c>
      <c r="G493" s="12" t="s">
        <v>32</v>
      </c>
      <c r="H493" s="12">
        <v>152.85</v>
      </c>
      <c r="I493" s="12">
        <v>216.45</v>
      </c>
      <c r="J493" s="12">
        <v>1196</v>
      </c>
      <c r="K493" s="12">
        <v>182808.6</v>
      </c>
      <c r="L493" s="12">
        <v>258874.2</v>
      </c>
      <c r="M493" s="17">
        <v>76065.600000000006</v>
      </c>
      <c r="N493" s="17">
        <v>41.61</v>
      </c>
      <c r="O493" s="16" t="s">
        <v>33</v>
      </c>
      <c r="P493" s="12">
        <v>0.51129999999999998</v>
      </c>
      <c r="Q493" s="12">
        <v>0.7</v>
      </c>
    </row>
    <row r="494" spans="1:17" x14ac:dyDescent="0.35">
      <c r="A494" s="18" t="s">
        <v>930</v>
      </c>
      <c r="B494" s="18" t="s">
        <v>416</v>
      </c>
      <c r="C494" s="19" t="s">
        <v>53</v>
      </c>
      <c r="D494" s="18" t="s">
        <v>54</v>
      </c>
      <c r="E494" s="20" t="s">
        <v>55</v>
      </c>
      <c r="F494" s="21" t="s">
        <v>98</v>
      </c>
      <c r="G494" s="18" t="s">
        <v>32</v>
      </c>
      <c r="H494" s="18">
        <v>76.650000000000006</v>
      </c>
      <c r="I494" s="18">
        <v>107.35</v>
      </c>
      <c r="J494" s="18">
        <v>1648</v>
      </c>
      <c r="K494" s="18">
        <v>126319.2</v>
      </c>
      <c r="L494" s="18">
        <v>176912.8</v>
      </c>
      <c r="M494" s="22">
        <v>50593.599999999999</v>
      </c>
      <c r="N494" s="22">
        <v>40.049999999999997</v>
      </c>
      <c r="O494" s="23" t="s">
        <v>33</v>
      </c>
      <c r="P494" s="18">
        <v>0.1231</v>
      </c>
      <c r="Q494" s="18">
        <v>1.23</v>
      </c>
    </row>
    <row r="495" spans="1:17" x14ac:dyDescent="0.35">
      <c r="A495" s="12" t="s">
        <v>931</v>
      </c>
      <c r="B495" s="12" t="s">
        <v>932</v>
      </c>
      <c r="C495" s="13" t="s">
        <v>72</v>
      </c>
      <c r="D495" s="12" t="s">
        <v>73</v>
      </c>
      <c r="E495" s="14" t="s">
        <v>74</v>
      </c>
      <c r="F495" s="15" t="s">
        <v>23</v>
      </c>
      <c r="G495" s="12" t="s">
        <v>32</v>
      </c>
      <c r="H495" s="12">
        <v>437.69</v>
      </c>
      <c r="I495" s="12">
        <v>417.82</v>
      </c>
      <c r="J495" s="12">
        <v>2687</v>
      </c>
      <c r="K495" s="12">
        <v>1176073.03</v>
      </c>
      <c r="L495" s="12">
        <v>1122682.3400000001</v>
      </c>
      <c r="M495" s="16">
        <v>-53390.69</v>
      </c>
      <c r="N495" s="16">
        <v>-4.54</v>
      </c>
      <c r="O495" s="17" t="s">
        <v>25</v>
      </c>
      <c r="P495" s="12">
        <v>0.30320000000000003</v>
      </c>
      <c r="Q495" s="12">
        <v>1.3</v>
      </c>
    </row>
    <row r="496" spans="1:17" x14ac:dyDescent="0.35">
      <c r="A496" s="18" t="s">
        <v>933</v>
      </c>
      <c r="B496" s="18" t="s">
        <v>934</v>
      </c>
      <c r="C496" s="19" t="s">
        <v>83</v>
      </c>
      <c r="D496" s="18" t="s">
        <v>84</v>
      </c>
      <c r="E496" s="20" t="s">
        <v>55</v>
      </c>
      <c r="F496" s="21" t="s">
        <v>62</v>
      </c>
      <c r="G496" s="18" t="s">
        <v>32</v>
      </c>
      <c r="H496" s="18">
        <v>392.75</v>
      </c>
      <c r="I496" s="18">
        <v>618.29</v>
      </c>
      <c r="J496" s="18">
        <v>3095</v>
      </c>
      <c r="K496" s="18">
        <v>1215561.25</v>
      </c>
      <c r="L496" s="18">
        <v>1913607.55</v>
      </c>
      <c r="M496" s="22">
        <v>698046.3</v>
      </c>
      <c r="N496" s="22">
        <v>57.43</v>
      </c>
      <c r="O496" s="23" t="s">
        <v>33</v>
      </c>
      <c r="P496" s="18">
        <v>0.29089999999999999</v>
      </c>
      <c r="Q496" s="18">
        <v>0.84</v>
      </c>
    </row>
    <row r="497" spans="1:17" x14ac:dyDescent="0.35">
      <c r="A497" s="12" t="s">
        <v>935</v>
      </c>
      <c r="B497" s="12" t="s">
        <v>583</v>
      </c>
      <c r="C497" s="13" t="s">
        <v>36</v>
      </c>
      <c r="D497" s="12" t="s">
        <v>37</v>
      </c>
      <c r="E497" s="14" t="s">
        <v>30</v>
      </c>
      <c r="F497" s="15" t="s">
        <v>23</v>
      </c>
      <c r="G497" s="12" t="s">
        <v>39</v>
      </c>
      <c r="H497" s="12">
        <v>213.72</v>
      </c>
      <c r="I497" s="12">
        <v>180.07</v>
      </c>
      <c r="J497" s="12">
        <v>3132</v>
      </c>
      <c r="K497" s="12">
        <v>669371.04</v>
      </c>
      <c r="L497" s="12">
        <v>563979.24</v>
      </c>
      <c r="M497" s="16">
        <v>-105391.8</v>
      </c>
      <c r="N497" s="16">
        <v>-15.74</v>
      </c>
      <c r="O497" s="25" t="s">
        <v>45</v>
      </c>
      <c r="P497" s="12">
        <v>0.54510000000000003</v>
      </c>
      <c r="Q497" s="12">
        <v>1.29</v>
      </c>
    </row>
    <row r="498" spans="1:17" x14ac:dyDescent="0.35">
      <c r="A498" s="18" t="s">
        <v>936</v>
      </c>
      <c r="B498" s="18" t="s">
        <v>851</v>
      </c>
      <c r="C498" s="19" t="s">
        <v>77</v>
      </c>
      <c r="D498" s="18" t="s">
        <v>78</v>
      </c>
      <c r="E498" s="20" t="s">
        <v>44</v>
      </c>
      <c r="F498" s="21" t="s">
        <v>23</v>
      </c>
      <c r="G498" s="18" t="s">
        <v>32</v>
      </c>
      <c r="H498" s="18">
        <v>179.01</v>
      </c>
      <c r="I498" s="18">
        <v>276.48</v>
      </c>
      <c r="J498" s="18">
        <v>3758</v>
      </c>
      <c r="K498" s="18">
        <v>672719.58</v>
      </c>
      <c r="L498" s="18">
        <v>1039011.84</v>
      </c>
      <c r="M498" s="22">
        <v>366292.26</v>
      </c>
      <c r="N498" s="22">
        <v>54.45</v>
      </c>
      <c r="O498" s="23" t="s">
        <v>33</v>
      </c>
      <c r="P498" s="18">
        <v>0.16309999999999999</v>
      </c>
      <c r="Q498" s="18">
        <v>1.21</v>
      </c>
    </row>
    <row r="499" spans="1:17" x14ac:dyDescent="0.35">
      <c r="A499" s="12" t="s">
        <v>937</v>
      </c>
      <c r="B499" s="12" t="s">
        <v>938</v>
      </c>
      <c r="C499" s="13" t="s">
        <v>215</v>
      </c>
      <c r="D499" s="12" t="s">
        <v>216</v>
      </c>
      <c r="E499" s="14" t="s">
        <v>50</v>
      </c>
      <c r="F499" s="15" t="s">
        <v>23</v>
      </c>
      <c r="G499" s="12" t="s">
        <v>32</v>
      </c>
      <c r="H499" s="12">
        <v>182.3</v>
      </c>
      <c r="I499" s="12">
        <v>161.1</v>
      </c>
      <c r="J499" s="12">
        <v>3287</v>
      </c>
      <c r="K499" s="12">
        <v>599220.1</v>
      </c>
      <c r="L499" s="12">
        <v>529535.69999999995</v>
      </c>
      <c r="M499" s="16">
        <v>-69684.399999999994</v>
      </c>
      <c r="N499" s="16">
        <v>-11.63</v>
      </c>
      <c r="O499" s="25" t="s">
        <v>45</v>
      </c>
      <c r="P499" s="12">
        <v>0.15920000000000001</v>
      </c>
      <c r="Q499" s="12">
        <v>0.77</v>
      </c>
    </row>
    <row r="500" spans="1:17" x14ac:dyDescent="0.35">
      <c r="A500" s="18" t="s">
        <v>939</v>
      </c>
      <c r="B500" s="18" t="s">
        <v>693</v>
      </c>
      <c r="C500" s="19" t="s">
        <v>53</v>
      </c>
      <c r="D500" s="18" t="s">
        <v>54</v>
      </c>
      <c r="E500" s="20" t="s">
        <v>55</v>
      </c>
      <c r="F500" s="21" t="s">
        <v>31</v>
      </c>
      <c r="G500" s="18" t="s">
        <v>32</v>
      </c>
      <c r="H500" s="18">
        <v>82.49</v>
      </c>
      <c r="I500" s="18">
        <v>77.209999999999994</v>
      </c>
      <c r="J500" s="18">
        <v>2255</v>
      </c>
      <c r="K500" s="18">
        <v>186014.95</v>
      </c>
      <c r="L500" s="18">
        <v>174108.55</v>
      </c>
      <c r="M500" s="23">
        <v>-11906.4</v>
      </c>
      <c r="N500" s="23">
        <v>-6.4</v>
      </c>
      <c r="O500" s="22" t="s">
        <v>25</v>
      </c>
      <c r="P500" s="18">
        <v>0.13619999999999999</v>
      </c>
      <c r="Q500" s="18">
        <v>1.06</v>
      </c>
    </row>
    <row r="501" spans="1:17" x14ac:dyDescent="0.35">
      <c r="A501" s="12" t="s">
        <v>940</v>
      </c>
      <c r="B501" s="12" t="s">
        <v>342</v>
      </c>
      <c r="C501" s="13" t="s">
        <v>77</v>
      </c>
      <c r="D501" s="12" t="s">
        <v>78</v>
      </c>
      <c r="E501" s="14" t="s">
        <v>44</v>
      </c>
      <c r="F501" s="15" t="s">
        <v>62</v>
      </c>
      <c r="G501" s="12" t="s">
        <v>24</v>
      </c>
      <c r="H501" s="12">
        <v>187.06</v>
      </c>
      <c r="I501" s="12">
        <v>272.02</v>
      </c>
      <c r="J501" s="12">
        <v>570</v>
      </c>
      <c r="K501" s="12">
        <v>106624.2</v>
      </c>
      <c r="L501" s="12">
        <v>155051.4</v>
      </c>
      <c r="M501" s="17">
        <v>48427.199999999997</v>
      </c>
      <c r="N501" s="17">
        <v>45.42</v>
      </c>
      <c r="O501" s="16" t="s">
        <v>33</v>
      </c>
      <c r="P501" s="12">
        <v>0.39529999999999998</v>
      </c>
      <c r="Q501" s="12">
        <v>1.1299999999999999</v>
      </c>
    </row>
    <row r="502" spans="1:17" x14ac:dyDescent="0.35">
      <c r="A502" s="18" t="s">
        <v>941</v>
      </c>
      <c r="B502" s="18" t="s">
        <v>942</v>
      </c>
      <c r="C502" s="19" t="s">
        <v>95</v>
      </c>
      <c r="D502" s="18" t="s">
        <v>96</v>
      </c>
      <c r="E502" s="20" t="s">
        <v>97</v>
      </c>
      <c r="F502" s="21" t="s">
        <v>23</v>
      </c>
      <c r="G502" s="18" t="s">
        <v>24</v>
      </c>
      <c r="H502" s="18">
        <v>238.74</v>
      </c>
      <c r="I502" s="18">
        <v>295.41000000000003</v>
      </c>
      <c r="J502" s="18">
        <v>375</v>
      </c>
      <c r="K502" s="18">
        <v>89527.5</v>
      </c>
      <c r="L502" s="18">
        <v>110778.75</v>
      </c>
      <c r="M502" s="22">
        <v>21251.25</v>
      </c>
      <c r="N502" s="22">
        <v>23.74</v>
      </c>
      <c r="O502" s="23" t="s">
        <v>33</v>
      </c>
      <c r="P502" s="18">
        <v>0.42030000000000001</v>
      </c>
      <c r="Q502" s="18">
        <v>1.34</v>
      </c>
    </row>
    <row r="503" spans="1:17" x14ac:dyDescent="0.35">
      <c r="A503" s="12" t="s">
        <v>943</v>
      </c>
      <c r="B503" s="12" t="s">
        <v>903</v>
      </c>
      <c r="C503" s="13" t="s">
        <v>103</v>
      </c>
      <c r="D503" s="12" t="s">
        <v>104</v>
      </c>
      <c r="E503" s="14" t="s">
        <v>22</v>
      </c>
      <c r="F503" s="15" t="s">
        <v>31</v>
      </c>
      <c r="G503" s="12" t="s">
        <v>39</v>
      </c>
      <c r="H503" s="12">
        <v>280.33999999999997</v>
      </c>
      <c r="I503" s="12">
        <v>209.39</v>
      </c>
      <c r="J503" s="12">
        <v>1389</v>
      </c>
      <c r="K503" s="12">
        <v>389392.26</v>
      </c>
      <c r="L503" s="12">
        <v>290842.71000000002</v>
      </c>
      <c r="M503" s="16">
        <v>-98549.55</v>
      </c>
      <c r="N503" s="16">
        <v>-25.31</v>
      </c>
      <c r="O503" s="16" t="s">
        <v>33</v>
      </c>
      <c r="P503" s="12">
        <v>0.2918</v>
      </c>
      <c r="Q503" s="12">
        <v>1.4</v>
      </c>
    </row>
    <row r="504" spans="1:17" x14ac:dyDescent="0.35">
      <c r="A504" s="18" t="s">
        <v>944</v>
      </c>
      <c r="B504" s="18" t="s">
        <v>670</v>
      </c>
      <c r="C504" s="19" t="s">
        <v>77</v>
      </c>
      <c r="D504" s="18" t="s">
        <v>78</v>
      </c>
      <c r="E504" s="20" t="s">
        <v>44</v>
      </c>
      <c r="F504" s="21" t="s">
        <v>62</v>
      </c>
      <c r="G504" s="18" t="s">
        <v>39</v>
      </c>
      <c r="H504" s="18">
        <v>176.73</v>
      </c>
      <c r="I504" s="18">
        <v>115.15</v>
      </c>
      <c r="J504" s="18">
        <v>225</v>
      </c>
      <c r="K504" s="18">
        <v>39764.25</v>
      </c>
      <c r="L504" s="18">
        <v>25908.75</v>
      </c>
      <c r="M504" s="23">
        <v>-13855.5</v>
      </c>
      <c r="N504" s="23">
        <v>-34.840000000000003</v>
      </c>
      <c r="O504" s="23" t="s">
        <v>33</v>
      </c>
      <c r="P504" s="18">
        <v>0.1588</v>
      </c>
      <c r="Q504" s="18">
        <v>0.94</v>
      </c>
    </row>
    <row r="505" spans="1:17" x14ac:dyDescent="0.35">
      <c r="A505" s="12" t="s">
        <v>945</v>
      </c>
      <c r="B505" s="12" t="s">
        <v>946</v>
      </c>
      <c r="C505" s="13" t="s">
        <v>36</v>
      </c>
      <c r="D505" s="12" t="s">
        <v>37</v>
      </c>
      <c r="E505" s="14" t="s">
        <v>30</v>
      </c>
      <c r="F505" s="15" t="s">
        <v>98</v>
      </c>
      <c r="G505" s="12" t="s">
        <v>65</v>
      </c>
      <c r="H505" s="12">
        <v>192.76</v>
      </c>
      <c r="I505" s="12">
        <v>299.58</v>
      </c>
      <c r="J505" s="12">
        <v>2365</v>
      </c>
      <c r="K505" s="12">
        <v>455877.4</v>
      </c>
      <c r="L505" s="12">
        <v>708506.7</v>
      </c>
      <c r="M505" s="17">
        <v>252629.3</v>
      </c>
      <c r="N505" s="17">
        <v>55.42</v>
      </c>
      <c r="O505" s="16" t="s">
        <v>33</v>
      </c>
      <c r="P505" s="12">
        <v>0.3155</v>
      </c>
      <c r="Q505" s="12">
        <v>1.08</v>
      </c>
    </row>
    <row r="506" spans="1:17" x14ac:dyDescent="0.35">
      <c r="A506" s="18" t="s">
        <v>947</v>
      </c>
      <c r="B506" s="18" t="s">
        <v>785</v>
      </c>
      <c r="C506" s="19" t="s">
        <v>178</v>
      </c>
      <c r="D506" s="18" t="s">
        <v>179</v>
      </c>
      <c r="E506" s="20" t="s">
        <v>22</v>
      </c>
      <c r="F506" s="21" t="s">
        <v>38</v>
      </c>
      <c r="G506" s="18" t="s">
        <v>32</v>
      </c>
      <c r="H506" s="18">
        <v>154.34</v>
      </c>
      <c r="I506" s="18">
        <v>143.63999999999999</v>
      </c>
      <c r="J506" s="18">
        <v>4247</v>
      </c>
      <c r="K506" s="18">
        <v>655481.98</v>
      </c>
      <c r="L506" s="18">
        <v>610039.07999999996</v>
      </c>
      <c r="M506" s="23">
        <v>-45442.9</v>
      </c>
      <c r="N506" s="23">
        <v>-6.93</v>
      </c>
      <c r="O506" s="22" t="s">
        <v>25</v>
      </c>
      <c r="P506" s="18">
        <v>0.2465</v>
      </c>
      <c r="Q506" s="18">
        <v>1.74</v>
      </c>
    </row>
    <row r="507" spans="1:17" x14ac:dyDescent="0.35">
      <c r="A507" s="12" t="s">
        <v>948</v>
      </c>
      <c r="B507" s="12" t="s">
        <v>949</v>
      </c>
      <c r="C507" s="13" t="s">
        <v>72</v>
      </c>
      <c r="D507" s="12" t="s">
        <v>73</v>
      </c>
      <c r="E507" s="14" t="s">
        <v>74</v>
      </c>
      <c r="F507" s="15" t="s">
        <v>38</v>
      </c>
      <c r="G507" s="12" t="s">
        <v>24</v>
      </c>
      <c r="H507" s="12">
        <v>458.53</v>
      </c>
      <c r="I507" s="12">
        <v>650.64</v>
      </c>
      <c r="J507" s="12">
        <v>3189</v>
      </c>
      <c r="K507" s="12">
        <v>1462252.17</v>
      </c>
      <c r="L507" s="12">
        <v>2074890.96</v>
      </c>
      <c r="M507" s="17">
        <v>612638.79</v>
      </c>
      <c r="N507" s="17">
        <v>41.9</v>
      </c>
      <c r="O507" s="16" t="s">
        <v>33</v>
      </c>
      <c r="P507" s="12">
        <v>0.44569999999999999</v>
      </c>
      <c r="Q507" s="12">
        <v>1.75</v>
      </c>
    </row>
    <row r="508" spans="1:17" x14ac:dyDescent="0.35">
      <c r="A508" s="18" t="s">
        <v>950</v>
      </c>
      <c r="B508" s="18" t="s">
        <v>478</v>
      </c>
      <c r="C508" s="19" t="s">
        <v>119</v>
      </c>
      <c r="D508" s="18" t="s">
        <v>120</v>
      </c>
      <c r="E508" s="20" t="s">
        <v>44</v>
      </c>
      <c r="F508" s="21" t="s">
        <v>62</v>
      </c>
      <c r="G508" s="18" t="s">
        <v>39</v>
      </c>
      <c r="H508" s="18">
        <v>47.74</v>
      </c>
      <c r="I508" s="18">
        <v>35.26</v>
      </c>
      <c r="J508" s="18">
        <v>324</v>
      </c>
      <c r="K508" s="18">
        <v>15467.76</v>
      </c>
      <c r="L508" s="18">
        <v>11424.24</v>
      </c>
      <c r="M508" s="23">
        <v>-4043.52</v>
      </c>
      <c r="N508" s="23">
        <v>-26.14</v>
      </c>
      <c r="O508" s="23" t="s">
        <v>33</v>
      </c>
      <c r="P508" s="18">
        <v>0.28449999999999998</v>
      </c>
      <c r="Q508" s="18">
        <v>1.55</v>
      </c>
    </row>
    <row r="509" spans="1:17" x14ac:dyDescent="0.35">
      <c r="A509" s="12" t="s">
        <v>951</v>
      </c>
      <c r="B509" s="12" t="s">
        <v>165</v>
      </c>
      <c r="C509" s="13" t="s">
        <v>150</v>
      </c>
      <c r="D509" s="12" t="s">
        <v>151</v>
      </c>
      <c r="E509" s="14" t="s">
        <v>55</v>
      </c>
      <c r="F509" s="15" t="s">
        <v>98</v>
      </c>
      <c r="G509" s="12" t="s">
        <v>39</v>
      </c>
      <c r="H509" s="12">
        <v>176.18</v>
      </c>
      <c r="I509" s="12">
        <v>151.09</v>
      </c>
      <c r="J509" s="12">
        <v>3478</v>
      </c>
      <c r="K509" s="12">
        <v>612754.04</v>
      </c>
      <c r="L509" s="12">
        <v>525491.02</v>
      </c>
      <c r="M509" s="16">
        <v>-87263.02</v>
      </c>
      <c r="N509" s="16">
        <v>-14.24</v>
      </c>
      <c r="O509" s="25" t="s">
        <v>45</v>
      </c>
      <c r="P509" s="12">
        <v>0.1242</v>
      </c>
      <c r="Q509" s="12">
        <v>1.6</v>
      </c>
    </row>
    <row r="510" spans="1:17" x14ac:dyDescent="0.35">
      <c r="A510" s="18" t="s">
        <v>952</v>
      </c>
      <c r="B510" s="18" t="s">
        <v>339</v>
      </c>
      <c r="C510" s="19" t="s">
        <v>150</v>
      </c>
      <c r="D510" s="18" t="s">
        <v>151</v>
      </c>
      <c r="E510" s="20" t="s">
        <v>55</v>
      </c>
      <c r="F510" s="21" t="s">
        <v>38</v>
      </c>
      <c r="G510" s="18" t="s">
        <v>32</v>
      </c>
      <c r="H510" s="18">
        <v>135.29</v>
      </c>
      <c r="I510" s="18">
        <v>207.26</v>
      </c>
      <c r="J510" s="18">
        <v>2901</v>
      </c>
      <c r="K510" s="18">
        <v>392476.29</v>
      </c>
      <c r="L510" s="18">
        <v>601261.26</v>
      </c>
      <c r="M510" s="22">
        <v>208784.97</v>
      </c>
      <c r="N510" s="22">
        <v>53.2</v>
      </c>
      <c r="O510" s="23" t="s">
        <v>33</v>
      </c>
      <c r="P510" s="18">
        <v>0.32490000000000002</v>
      </c>
      <c r="Q510" s="18">
        <v>1.02</v>
      </c>
    </row>
    <row r="511" spans="1:17" x14ac:dyDescent="0.35">
      <c r="A511" s="12" t="s">
        <v>953</v>
      </c>
      <c r="B511" s="12" t="s">
        <v>770</v>
      </c>
      <c r="C511" s="13" t="s">
        <v>28</v>
      </c>
      <c r="D511" s="12" t="s">
        <v>29</v>
      </c>
      <c r="E511" s="14" t="s">
        <v>30</v>
      </c>
      <c r="F511" s="15" t="s">
        <v>23</v>
      </c>
      <c r="G511" s="12" t="s">
        <v>32</v>
      </c>
      <c r="H511" s="12">
        <v>257.07</v>
      </c>
      <c r="I511" s="12">
        <v>268.48</v>
      </c>
      <c r="J511" s="12">
        <v>4187</v>
      </c>
      <c r="K511" s="12">
        <v>1076352.0900000001</v>
      </c>
      <c r="L511" s="12">
        <v>1124125.76</v>
      </c>
      <c r="M511" s="17">
        <v>47773.67</v>
      </c>
      <c r="N511" s="17">
        <v>4.4400000000000004</v>
      </c>
      <c r="O511" s="17" t="s">
        <v>25</v>
      </c>
      <c r="P511" s="12">
        <v>0.22409999999999999</v>
      </c>
      <c r="Q511" s="12">
        <v>0.92</v>
      </c>
    </row>
    <row r="512" spans="1:17" x14ac:dyDescent="0.35">
      <c r="A512" s="18" t="s">
        <v>954</v>
      </c>
      <c r="B512" s="18" t="s">
        <v>648</v>
      </c>
      <c r="C512" s="19" t="s">
        <v>150</v>
      </c>
      <c r="D512" s="18" t="s">
        <v>151</v>
      </c>
      <c r="E512" s="20" t="s">
        <v>55</v>
      </c>
      <c r="F512" s="21" t="s">
        <v>62</v>
      </c>
      <c r="G512" s="18" t="s">
        <v>39</v>
      </c>
      <c r="H512" s="18">
        <v>139</v>
      </c>
      <c r="I512" s="18">
        <v>93</v>
      </c>
      <c r="J512" s="18">
        <v>3016</v>
      </c>
      <c r="K512" s="18">
        <v>419224</v>
      </c>
      <c r="L512" s="18">
        <v>280488</v>
      </c>
      <c r="M512" s="23">
        <v>-138736</v>
      </c>
      <c r="N512" s="23">
        <v>-33.090000000000003</v>
      </c>
      <c r="O512" s="23" t="s">
        <v>33</v>
      </c>
      <c r="P512" s="18">
        <v>0.51570000000000005</v>
      </c>
      <c r="Q512" s="18">
        <v>1.41</v>
      </c>
    </row>
    <row r="513" spans="1:17" x14ac:dyDescent="0.35">
      <c r="A513" s="12" t="s">
        <v>955</v>
      </c>
      <c r="B513" s="12" t="s">
        <v>342</v>
      </c>
      <c r="C513" s="13" t="s">
        <v>115</v>
      </c>
      <c r="D513" s="12" t="s">
        <v>116</v>
      </c>
      <c r="E513" s="14" t="s">
        <v>55</v>
      </c>
      <c r="F513" s="15" t="s">
        <v>62</v>
      </c>
      <c r="G513" s="12" t="s">
        <v>32</v>
      </c>
      <c r="H513" s="12">
        <v>861.43</v>
      </c>
      <c r="I513" s="12">
        <v>981.89</v>
      </c>
      <c r="J513" s="12">
        <v>446</v>
      </c>
      <c r="K513" s="12">
        <v>384197.78</v>
      </c>
      <c r="L513" s="12">
        <v>437922.94</v>
      </c>
      <c r="M513" s="17">
        <v>53725.16</v>
      </c>
      <c r="N513" s="17">
        <v>13.98</v>
      </c>
      <c r="O513" s="25" t="s">
        <v>45</v>
      </c>
      <c r="P513" s="12">
        <v>0.25559999999999999</v>
      </c>
      <c r="Q513" s="12">
        <v>1.68</v>
      </c>
    </row>
    <row r="514" spans="1:17" x14ac:dyDescent="0.35">
      <c r="A514" s="18" t="s">
        <v>956</v>
      </c>
      <c r="B514" s="18" t="s">
        <v>957</v>
      </c>
      <c r="C514" s="19" t="s">
        <v>28</v>
      </c>
      <c r="D514" s="18" t="s">
        <v>29</v>
      </c>
      <c r="E514" s="20" t="s">
        <v>30</v>
      </c>
      <c r="F514" s="21" t="s">
        <v>23</v>
      </c>
      <c r="G514" s="18" t="s">
        <v>39</v>
      </c>
      <c r="H514" s="18">
        <v>224.18</v>
      </c>
      <c r="I514" s="18">
        <v>161.88999999999999</v>
      </c>
      <c r="J514" s="18">
        <v>4287</v>
      </c>
      <c r="K514" s="18">
        <v>961059.66</v>
      </c>
      <c r="L514" s="18">
        <v>694022.43</v>
      </c>
      <c r="M514" s="23">
        <v>-267037.23</v>
      </c>
      <c r="N514" s="23">
        <v>-27.79</v>
      </c>
      <c r="O514" s="23" t="s">
        <v>33</v>
      </c>
      <c r="P514" s="18">
        <v>0.36799999999999999</v>
      </c>
      <c r="Q514" s="18">
        <v>0.66</v>
      </c>
    </row>
    <row r="515" spans="1:17" x14ac:dyDescent="0.35">
      <c r="A515" s="12" t="s">
        <v>958</v>
      </c>
      <c r="B515" s="12" t="s">
        <v>959</v>
      </c>
      <c r="C515" s="13" t="s">
        <v>42</v>
      </c>
      <c r="D515" s="12" t="s">
        <v>43</v>
      </c>
      <c r="E515" s="14" t="s">
        <v>44</v>
      </c>
      <c r="F515" s="15" t="s">
        <v>62</v>
      </c>
      <c r="G515" s="12" t="s">
        <v>32</v>
      </c>
      <c r="H515" s="12">
        <v>532.46</v>
      </c>
      <c r="I515" s="12">
        <v>724.38</v>
      </c>
      <c r="J515" s="12">
        <v>2944</v>
      </c>
      <c r="K515" s="12">
        <v>1567562.24</v>
      </c>
      <c r="L515" s="12">
        <v>2132574.7200000002</v>
      </c>
      <c r="M515" s="17">
        <v>565012.47999999998</v>
      </c>
      <c r="N515" s="17">
        <v>36.04</v>
      </c>
      <c r="O515" s="16" t="s">
        <v>33</v>
      </c>
      <c r="P515" s="12">
        <v>0.19520000000000001</v>
      </c>
      <c r="Q515" s="12">
        <v>1.77</v>
      </c>
    </row>
    <row r="516" spans="1:17" x14ac:dyDescent="0.35">
      <c r="A516" s="18" t="s">
        <v>960</v>
      </c>
      <c r="B516" s="18" t="s">
        <v>961</v>
      </c>
      <c r="C516" s="19" t="s">
        <v>72</v>
      </c>
      <c r="D516" s="18" t="s">
        <v>73</v>
      </c>
      <c r="E516" s="20" t="s">
        <v>74</v>
      </c>
      <c r="F516" s="21" t="s">
        <v>31</v>
      </c>
      <c r="G516" s="18" t="s">
        <v>65</v>
      </c>
      <c r="H516" s="18">
        <v>473.5</v>
      </c>
      <c r="I516" s="18">
        <v>542.44000000000005</v>
      </c>
      <c r="J516" s="18">
        <v>196</v>
      </c>
      <c r="K516" s="18">
        <v>92806</v>
      </c>
      <c r="L516" s="18">
        <v>106318.24</v>
      </c>
      <c r="M516" s="22">
        <v>13512.24</v>
      </c>
      <c r="N516" s="22">
        <v>14.56</v>
      </c>
      <c r="O516" s="24" t="s">
        <v>45</v>
      </c>
      <c r="P516" s="18">
        <v>0.1633</v>
      </c>
      <c r="Q516" s="18">
        <v>1.03</v>
      </c>
    </row>
    <row r="517" spans="1:17" x14ac:dyDescent="0.35">
      <c r="A517" s="12" t="s">
        <v>962</v>
      </c>
      <c r="B517" s="12" t="s">
        <v>618</v>
      </c>
      <c r="C517" s="13" t="s">
        <v>83</v>
      </c>
      <c r="D517" s="12" t="s">
        <v>84</v>
      </c>
      <c r="E517" s="14" t="s">
        <v>55</v>
      </c>
      <c r="F517" s="15" t="s">
        <v>23</v>
      </c>
      <c r="G517" s="12" t="s">
        <v>24</v>
      </c>
      <c r="H517" s="12">
        <v>376.73</v>
      </c>
      <c r="I517" s="12">
        <v>493.2</v>
      </c>
      <c r="J517" s="12">
        <v>2306</v>
      </c>
      <c r="K517" s="12">
        <v>868739.38</v>
      </c>
      <c r="L517" s="12">
        <v>1137319.2</v>
      </c>
      <c r="M517" s="17">
        <v>268579.82</v>
      </c>
      <c r="N517" s="17">
        <v>30.92</v>
      </c>
      <c r="O517" s="16" t="s">
        <v>33</v>
      </c>
      <c r="P517" s="12">
        <v>0.27729999999999999</v>
      </c>
      <c r="Q517" s="12">
        <v>1.2</v>
      </c>
    </row>
    <row r="518" spans="1:17" x14ac:dyDescent="0.35">
      <c r="A518" s="18" t="s">
        <v>963</v>
      </c>
      <c r="B518" s="18" t="s">
        <v>35</v>
      </c>
      <c r="C518" s="19" t="s">
        <v>95</v>
      </c>
      <c r="D518" s="18" t="s">
        <v>96</v>
      </c>
      <c r="E518" s="20" t="s">
        <v>97</v>
      </c>
      <c r="F518" s="21" t="s">
        <v>98</v>
      </c>
      <c r="G518" s="18" t="s">
        <v>65</v>
      </c>
      <c r="H518" s="18">
        <v>205.46</v>
      </c>
      <c r="I518" s="18">
        <v>206.68</v>
      </c>
      <c r="J518" s="18">
        <v>3381</v>
      </c>
      <c r="K518" s="18">
        <v>694660.26</v>
      </c>
      <c r="L518" s="18">
        <v>698785.08</v>
      </c>
      <c r="M518" s="22">
        <v>4124.82</v>
      </c>
      <c r="N518" s="22">
        <v>0.59</v>
      </c>
      <c r="O518" s="22" t="s">
        <v>25</v>
      </c>
      <c r="P518" s="18">
        <v>0.1764</v>
      </c>
      <c r="Q518" s="18">
        <v>1.29</v>
      </c>
    </row>
    <row r="519" spans="1:17" x14ac:dyDescent="0.35">
      <c r="A519" s="12" t="s">
        <v>964</v>
      </c>
      <c r="B519" s="12" t="s">
        <v>822</v>
      </c>
      <c r="C519" s="13" t="s">
        <v>150</v>
      </c>
      <c r="D519" s="12" t="s">
        <v>151</v>
      </c>
      <c r="E519" s="14" t="s">
        <v>55</v>
      </c>
      <c r="F519" s="15" t="s">
        <v>23</v>
      </c>
      <c r="G519" s="12" t="s">
        <v>24</v>
      </c>
      <c r="H519" s="12">
        <v>151.85</v>
      </c>
      <c r="I519" s="12">
        <v>174.11</v>
      </c>
      <c r="J519" s="12">
        <v>4649</v>
      </c>
      <c r="K519" s="12">
        <v>705950.65</v>
      </c>
      <c r="L519" s="12">
        <v>809437.39</v>
      </c>
      <c r="M519" s="17">
        <v>103486.74</v>
      </c>
      <c r="N519" s="17">
        <v>14.66</v>
      </c>
      <c r="O519" s="25" t="s">
        <v>45</v>
      </c>
      <c r="P519" s="12">
        <v>0.1827</v>
      </c>
      <c r="Q519" s="12">
        <v>1.75</v>
      </c>
    </row>
    <row r="520" spans="1:17" x14ac:dyDescent="0.35">
      <c r="A520" s="18" t="s">
        <v>965</v>
      </c>
      <c r="B520" s="18" t="s">
        <v>202</v>
      </c>
      <c r="C520" s="19" t="s">
        <v>87</v>
      </c>
      <c r="D520" s="18" t="s">
        <v>88</v>
      </c>
      <c r="E520" s="20" t="s">
        <v>22</v>
      </c>
      <c r="F520" s="21" t="s">
        <v>23</v>
      </c>
      <c r="G520" s="18" t="s">
        <v>32</v>
      </c>
      <c r="H520" s="18">
        <v>349.96</v>
      </c>
      <c r="I520" s="18">
        <v>551.85</v>
      </c>
      <c r="J520" s="18">
        <v>3553</v>
      </c>
      <c r="K520" s="18">
        <v>1243407.8799999999</v>
      </c>
      <c r="L520" s="18">
        <v>1960723.05</v>
      </c>
      <c r="M520" s="22">
        <v>717315.17</v>
      </c>
      <c r="N520" s="22">
        <v>57.69</v>
      </c>
      <c r="O520" s="23" t="s">
        <v>33</v>
      </c>
      <c r="P520" s="18">
        <v>0.48520000000000002</v>
      </c>
      <c r="Q520" s="18">
        <v>1.22</v>
      </c>
    </row>
    <row r="521" spans="1:17" x14ac:dyDescent="0.35">
      <c r="A521" s="12" t="s">
        <v>966</v>
      </c>
      <c r="B521" s="12" t="s">
        <v>352</v>
      </c>
      <c r="C521" s="13" t="s">
        <v>215</v>
      </c>
      <c r="D521" s="12" t="s">
        <v>216</v>
      </c>
      <c r="E521" s="14" t="s">
        <v>50</v>
      </c>
      <c r="F521" s="15" t="s">
        <v>98</v>
      </c>
      <c r="G521" s="12" t="s">
        <v>24</v>
      </c>
      <c r="H521" s="12">
        <v>177.21</v>
      </c>
      <c r="I521" s="12">
        <v>161.86000000000001</v>
      </c>
      <c r="J521" s="12">
        <v>4705</v>
      </c>
      <c r="K521" s="12">
        <v>833773.05</v>
      </c>
      <c r="L521" s="12">
        <v>761551.3</v>
      </c>
      <c r="M521" s="16">
        <v>-72221.75</v>
      </c>
      <c r="N521" s="16">
        <v>-8.66</v>
      </c>
      <c r="O521" s="25" t="s">
        <v>45</v>
      </c>
      <c r="P521" s="12">
        <v>0.16259999999999999</v>
      </c>
      <c r="Q521" s="12">
        <v>0.8</v>
      </c>
    </row>
    <row r="522" spans="1:17" x14ac:dyDescent="0.35">
      <c r="A522" s="18" t="s">
        <v>967</v>
      </c>
      <c r="B522" s="18" t="s">
        <v>968</v>
      </c>
      <c r="C522" s="19" t="s">
        <v>95</v>
      </c>
      <c r="D522" s="18" t="s">
        <v>96</v>
      </c>
      <c r="E522" s="20" t="s">
        <v>97</v>
      </c>
      <c r="F522" s="21" t="s">
        <v>31</v>
      </c>
      <c r="G522" s="18" t="s">
        <v>39</v>
      </c>
      <c r="H522" s="18">
        <v>236.14</v>
      </c>
      <c r="I522" s="18">
        <v>174.62</v>
      </c>
      <c r="J522" s="18">
        <v>3785</v>
      </c>
      <c r="K522" s="18">
        <v>893789.9</v>
      </c>
      <c r="L522" s="18">
        <v>660936.69999999995</v>
      </c>
      <c r="M522" s="23">
        <v>-232853.2</v>
      </c>
      <c r="N522" s="23">
        <v>-26.05</v>
      </c>
      <c r="O522" s="23" t="s">
        <v>33</v>
      </c>
      <c r="P522" s="18">
        <v>0.27489999999999998</v>
      </c>
      <c r="Q522" s="18">
        <v>1.27</v>
      </c>
    </row>
    <row r="523" spans="1:17" x14ac:dyDescent="0.35">
      <c r="A523" s="12" t="s">
        <v>969</v>
      </c>
      <c r="B523" s="12" t="s">
        <v>442</v>
      </c>
      <c r="C523" s="13" t="s">
        <v>83</v>
      </c>
      <c r="D523" s="12" t="s">
        <v>84</v>
      </c>
      <c r="E523" s="14" t="s">
        <v>55</v>
      </c>
      <c r="F523" s="15" t="s">
        <v>38</v>
      </c>
      <c r="G523" s="12" t="s">
        <v>32</v>
      </c>
      <c r="H523" s="12">
        <v>363.02</v>
      </c>
      <c r="I523" s="12">
        <v>492.15</v>
      </c>
      <c r="J523" s="12">
        <v>1093</v>
      </c>
      <c r="K523" s="12">
        <v>396780.86</v>
      </c>
      <c r="L523" s="12">
        <v>537919.94999999995</v>
      </c>
      <c r="M523" s="17">
        <v>141139.09</v>
      </c>
      <c r="N523" s="17">
        <v>35.57</v>
      </c>
      <c r="O523" s="16" t="s">
        <v>33</v>
      </c>
      <c r="P523" s="12">
        <v>0.38040000000000002</v>
      </c>
      <c r="Q523" s="12">
        <v>1.29</v>
      </c>
    </row>
    <row r="524" spans="1:17" x14ac:dyDescent="0.35">
      <c r="A524" s="18" t="s">
        <v>970</v>
      </c>
      <c r="B524" s="18" t="s">
        <v>971</v>
      </c>
      <c r="C524" s="19" t="s">
        <v>36</v>
      </c>
      <c r="D524" s="18" t="s">
        <v>37</v>
      </c>
      <c r="E524" s="20" t="s">
        <v>30</v>
      </c>
      <c r="F524" s="21" t="s">
        <v>98</v>
      </c>
      <c r="G524" s="18" t="s">
        <v>24</v>
      </c>
      <c r="H524" s="18">
        <v>220.91</v>
      </c>
      <c r="I524" s="18">
        <v>269.79000000000002</v>
      </c>
      <c r="J524" s="18">
        <v>2763</v>
      </c>
      <c r="K524" s="18">
        <v>610374.32999999996</v>
      </c>
      <c r="L524" s="18">
        <v>745429.77</v>
      </c>
      <c r="M524" s="22">
        <v>135055.44</v>
      </c>
      <c r="N524" s="22">
        <v>22.13</v>
      </c>
      <c r="O524" s="23" t="s">
        <v>33</v>
      </c>
      <c r="P524" s="18">
        <v>0.43669999999999998</v>
      </c>
      <c r="Q524" s="18">
        <v>1.67</v>
      </c>
    </row>
    <row r="525" spans="1:17" x14ac:dyDescent="0.35">
      <c r="A525" s="12" t="s">
        <v>972</v>
      </c>
      <c r="B525" s="12" t="s">
        <v>342</v>
      </c>
      <c r="C525" s="13" t="s">
        <v>77</v>
      </c>
      <c r="D525" s="12" t="s">
        <v>78</v>
      </c>
      <c r="E525" s="14" t="s">
        <v>44</v>
      </c>
      <c r="F525" s="15" t="s">
        <v>38</v>
      </c>
      <c r="G525" s="12" t="s">
        <v>24</v>
      </c>
      <c r="H525" s="12">
        <v>183.23</v>
      </c>
      <c r="I525" s="12">
        <v>243.4</v>
      </c>
      <c r="J525" s="12">
        <v>1286</v>
      </c>
      <c r="K525" s="12">
        <v>235633.78</v>
      </c>
      <c r="L525" s="12">
        <v>313012.40000000002</v>
      </c>
      <c r="M525" s="17">
        <v>77378.62</v>
      </c>
      <c r="N525" s="17">
        <v>32.840000000000003</v>
      </c>
      <c r="O525" s="16" t="s">
        <v>33</v>
      </c>
      <c r="P525" s="12">
        <v>0.51929999999999998</v>
      </c>
      <c r="Q525" s="12">
        <v>1.1100000000000001</v>
      </c>
    </row>
    <row r="526" spans="1:17" x14ac:dyDescent="0.35">
      <c r="A526" s="18" t="s">
        <v>973</v>
      </c>
      <c r="B526" s="18" t="s">
        <v>587</v>
      </c>
      <c r="C526" s="19" t="s">
        <v>53</v>
      </c>
      <c r="D526" s="18" t="s">
        <v>54</v>
      </c>
      <c r="E526" s="20" t="s">
        <v>55</v>
      </c>
      <c r="F526" s="21" t="s">
        <v>31</v>
      </c>
      <c r="G526" s="18" t="s">
        <v>32</v>
      </c>
      <c r="H526" s="18">
        <v>80.87</v>
      </c>
      <c r="I526" s="18">
        <v>84.08</v>
      </c>
      <c r="J526" s="18">
        <v>748</v>
      </c>
      <c r="K526" s="18">
        <v>60490.76</v>
      </c>
      <c r="L526" s="18">
        <v>62891.839999999997</v>
      </c>
      <c r="M526" s="22">
        <v>2401.08</v>
      </c>
      <c r="N526" s="22">
        <v>3.97</v>
      </c>
      <c r="O526" s="22" t="s">
        <v>25</v>
      </c>
      <c r="P526" s="18">
        <v>0.25629999999999997</v>
      </c>
      <c r="Q526" s="18">
        <v>0.95</v>
      </c>
    </row>
    <row r="527" spans="1:17" x14ac:dyDescent="0.35">
      <c r="A527" s="12" t="s">
        <v>974</v>
      </c>
      <c r="B527" s="12" t="s">
        <v>136</v>
      </c>
      <c r="C527" s="13" t="s">
        <v>83</v>
      </c>
      <c r="D527" s="12" t="s">
        <v>84</v>
      </c>
      <c r="E527" s="14" t="s">
        <v>55</v>
      </c>
      <c r="F527" s="15" t="s">
        <v>98</v>
      </c>
      <c r="G527" s="12" t="s">
        <v>32</v>
      </c>
      <c r="H527" s="12">
        <v>412.03</v>
      </c>
      <c r="I527" s="12">
        <v>633.35</v>
      </c>
      <c r="J527" s="12">
        <v>3744</v>
      </c>
      <c r="K527" s="12">
        <v>1542640.32</v>
      </c>
      <c r="L527" s="12">
        <v>2371262.4</v>
      </c>
      <c r="M527" s="17">
        <v>828622.08</v>
      </c>
      <c r="N527" s="17">
        <v>53.71</v>
      </c>
      <c r="O527" s="16" t="s">
        <v>33</v>
      </c>
      <c r="P527" s="12">
        <v>0.44159999999999999</v>
      </c>
      <c r="Q527" s="12">
        <v>1.23</v>
      </c>
    </row>
    <row r="528" spans="1:17" x14ac:dyDescent="0.35">
      <c r="A528" s="18" t="s">
        <v>975</v>
      </c>
      <c r="B528" s="18" t="s">
        <v>976</v>
      </c>
      <c r="C528" s="19" t="s">
        <v>119</v>
      </c>
      <c r="D528" s="18" t="s">
        <v>120</v>
      </c>
      <c r="E528" s="20" t="s">
        <v>44</v>
      </c>
      <c r="F528" s="21" t="s">
        <v>23</v>
      </c>
      <c r="G528" s="18" t="s">
        <v>32</v>
      </c>
      <c r="H528" s="18">
        <v>42.6</v>
      </c>
      <c r="I528" s="18">
        <v>44.48</v>
      </c>
      <c r="J528" s="18">
        <v>289</v>
      </c>
      <c r="K528" s="18">
        <v>12311.4</v>
      </c>
      <c r="L528" s="18">
        <v>12854.72</v>
      </c>
      <c r="M528" s="22">
        <v>543.32000000000005</v>
      </c>
      <c r="N528" s="22">
        <v>4.41</v>
      </c>
      <c r="O528" s="22" t="s">
        <v>25</v>
      </c>
      <c r="P528" s="18">
        <v>0.22819999999999999</v>
      </c>
      <c r="Q528" s="18">
        <v>1.49</v>
      </c>
    </row>
    <row r="529" spans="1:17" x14ac:dyDescent="0.35">
      <c r="A529" s="12" t="s">
        <v>977</v>
      </c>
      <c r="B529" s="12" t="s">
        <v>978</v>
      </c>
      <c r="C529" s="13" t="s">
        <v>60</v>
      </c>
      <c r="D529" s="12" t="s">
        <v>61</v>
      </c>
      <c r="E529" s="14" t="s">
        <v>22</v>
      </c>
      <c r="F529" s="15" t="s">
        <v>38</v>
      </c>
      <c r="G529" s="12" t="s">
        <v>32</v>
      </c>
      <c r="H529" s="12">
        <v>123.01</v>
      </c>
      <c r="I529" s="12">
        <v>188.91</v>
      </c>
      <c r="J529" s="12">
        <v>943</v>
      </c>
      <c r="K529" s="12">
        <v>115998.43</v>
      </c>
      <c r="L529" s="12">
        <v>178142.13</v>
      </c>
      <c r="M529" s="17">
        <v>62143.7</v>
      </c>
      <c r="N529" s="17">
        <v>53.57</v>
      </c>
      <c r="O529" s="16" t="s">
        <v>33</v>
      </c>
      <c r="P529" s="12">
        <v>0.32350000000000001</v>
      </c>
      <c r="Q529" s="12">
        <v>0.66</v>
      </c>
    </row>
    <row r="530" spans="1:17" x14ac:dyDescent="0.35">
      <c r="A530" s="18" t="s">
        <v>979</v>
      </c>
      <c r="B530" s="18" t="s">
        <v>980</v>
      </c>
      <c r="C530" s="19" t="s">
        <v>77</v>
      </c>
      <c r="D530" s="18" t="s">
        <v>78</v>
      </c>
      <c r="E530" s="20" t="s">
        <v>44</v>
      </c>
      <c r="F530" s="21" t="s">
        <v>31</v>
      </c>
      <c r="G530" s="18" t="s">
        <v>32</v>
      </c>
      <c r="H530" s="18">
        <v>170.85</v>
      </c>
      <c r="I530" s="18">
        <v>160.43</v>
      </c>
      <c r="J530" s="18">
        <v>2250</v>
      </c>
      <c r="K530" s="18">
        <v>384412.5</v>
      </c>
      <c r="L530" s="18">
        <v>360967.5</v>
      </c>
      <c r="M530" s="23">
        <v>-23445</v>
      </c>
      <c r="N530" s="23">
        <v>-6.1</v>
      </c>
      <c r="O530" s="22" t="s">
        <v>25</v>
      </c>
      <c r="P530" s="18">
        <v>0.52059999999999995</v>
      </c>
      <c r="Q530" s="18">
        <v>1.07</v>
      </c>
    </row>
    <row r="531" spans="1:17" x14ac:dyDescent="0.35">
      <c r="A531" s="12" t="s">
        <v>981</v>
      </c>
      <c r="B531" s="12" t="s">
        <v>100</v>
      </c>
      <c r="C531" s="13" t="s">
        <v>150</v>
      </c>
      <c r="D531" s="12" t="s">
        <v>151</v>
      </c>
      <c r="E531" s="14" t="s">
        <v>55</v>
      </c>
      <c r="F531" s="15" t="s">
        <v>38</v>
      </c>
      <c r="G531" s="12" t="s">
        <v>24</v>
      </c>
      <c r="H531" s="12">
        <v>137.85</v>
      </c>
      <c r="I531" s="12">
        <v>202.22</v>
      </c>
      <c r="J531" s="12">
        <v>1135</v>
      </c>
      <c r="K531" s="12">
        <v>156459.75</v>
      </c>
      <c r="L531" s="12">
        <v>229519.7</v>
      </c>
      <c r="M531" s="17">
        <v>73059.95</v>
      </c>
      <c r="N531" s="17">
        <v>46.7</v>
      </c>
      <c r="O531" s="16" t="s">
        <v>33</v>
      </c>
      <c r="P531" s="12">
        <v>0.1323</v>
      </c>
      <c r="Q531" s="12">
        <v>1.4</v>
      </c>
    </row>
    <row r="532" spans="1:17" x14ac:dyDescent="0.35">
      <c r="A532" s="18" t="s">
        <v>982</v>
      </c>
      <c r="B532" s="18" t="s">
        <v>983</v>
      </c>
      <c r="C532" s="19" t="s">
        <v>215</v>
      </c>
      <c r="D532" s="18" t="s">
        <v>216</v>
      </c>
      <c r="E532" s="20" t="s">
        <v>50</v>
      </c>
      <c r="F532" s="21" t="s">
        <v>62</v>
      </c>
      <c r="G532" s="18" t="s">
        <v>39</v>
      </c>
      <c r="H532" s="18">
        <v>162.33000000000001</v>
      </c>
      <c r="I532" s="18">
        <v>110.73</v>
      </c>
      <c r="J532" s="18">
        <v>2331</v>
      </c>
      <c r="K532" s="18">
        <v>378391.23</v>
      </c>
      <c r="L532" s="18">
        <v>258111.63</v>
      </c>
      <c r="M532" s="23">
        <v>-120279.6</v>
      </c>
      <c r="N532" s="23">
        <v>-31.79</v>
      </c>
      <c r="O532" s="23" t="s">
        <v>33</v>
      </c>
      <c r="P532" s="18">
        <v>0.52780000000000005</v>
      </c>
      <c r="Q532" s="18">
        <v>1.25</v>
      </c>
    </row>
    <row r="533" spans="1:17" x14ac:dyDescent="0.35">
      <c r="A533" s="12" t="s">
        <v>984</v>
      </c>
      <c r="B533" s="12" t="s">
        <v>620</v>
      </c>
      <c r="C533" s="13" t="s">
        <v>28</v>
      </c>
      <c r="D533" s="12" t="s">
        <v>29</v>
      </c>
      <c r="E533" s="14" t="s">
        <v>30</v>
      </c>
      <c r="F533" s="15" t="s">
        <v>62</v>
      </c>
      <c r="G533" s="12" t="s">
        <v>39</v>
      </c>
      <c r="H533" s="12">
        <v>241.69</v>
      </c>
      <c r="I533" s="12">
        <v>220.95</v>
      </c>
      <c r="J533" s="12">
        <v>3663</v>
      </c>
      <c r="K533" s="12">
        <v>885310.47</v>
      </c>
      <c r="L533" s="12">
        <v>809339.85</v>
      </c>
      <c r="M533" s="16">
        <v>-75970.62</v>
      </c>
      <c r="N533" s="16">
        <v>-8.58</v>
      </c>
      <c r="O533" s="25" t="s">
        <v>45</v>
      </c>
      <c r="P533" s="12">
        <v>0.25319999999999998</v>
      </c>
      <c r="Q533" s="12">
        <v>1.02</v>
      </c>
    </row>
    <row r="534" spans="1:17" x14ac:dyDescent="0.35">
      <c r="A534" s="18" t="s">
        <v>985</v>
      </c>
      <c r="B534" s="18" t="s">
        <v>986</v>
      </c>
      <c r="C534" s="19" t="s">
        <v>36</v>
      </c>
      <c r="D534" s="18" t="s">
        <v>37</v>
      </c>
      <c r="E534" s="20" t="s">
        <v>30</v>
      </c>
      <c r="F534" s="21" t="s">
        <v>38</v>
      </c>
      <c r="G534" s="18" t="s">
        <v>32</v>
      </c>
      <c r="H534" s="18">
        <v>201.54</v>
      </c>
      <c r="I534" s="18">
        <v>214.01</v>
      </c>
      <c r="J534" s="18">
        <v>2622</v>
      </c>
      <c r="K534" s="18">
        <v>528437.88</v>
      </c>
      <c r="L534" s="18">
        <v>561134.22</v>
      </c>
      <c r="M534" s="22">
        <v>32696.34</v>
      </c>
      <c r="N534" s="22">
        <v>6.19</v>
      </c>
      <c r="O534" s="22" t="s">
        <v>25</v>
      </c>
      <c r="P534" s="18">
        <v>0.2505</v>
      </c>
      <c r="Q534" s="18">
        <v>0.6</v>
      </c>
    </row>
    <row r="535" spans="1:17" x14ac:dyDescent="0.35">
      <c r="A535" s="12" t="s">
        <v>987</v>
      </c>
      <c r="B535" s="12" t="s">
        <v>442</v>
      </c>
      <c r="C535" s="13" t="s">
        <v>87</v>
      </c>
      <c r="D535" s="12" t="s">
        <v>88</v>
      </c>
      <c r="E535" s="14" t="s">
        <v>22</v>
      </c>
      <c r="F535" s="15" t="s">
        <v>38</v>
      </c>
      <c r="G535" s="12" t="s">
        <v>24</v>
      </c>
      <c r="H535" s="12">
        <v>298.37</v>
      </c>
      <c r="I535" s="12">
        <v>455.15</v>
      </c>
      <c r="J535" s="12">
        <v>4483</v>
      </c>
      <c r="K535" s="12">
        <v>1337592.71</v>
      </c>
      <c r="L535" s="12">
        <v>2040437.45</v>
      </c>
      <c r="M535" s="17">
        <v>702844.74</v>
      </c>
      <c r="N535" s="17">
        <v>52.55</v>
      </c>
      <c r="O535" s="16" t="s">
        <v>33</v>
      </c>
      <c r="P535" s="12">
        <v>0.5272</v>
      </c>
      <c r="Q535" s="12">
        <v>1.17</v>
      </c>
    </row>
    <row r="536" spans="1:17" x14ac:dyDescent="0.35">
      <c r="A536" s="18" t="s">
        <v>988</v>
      </c>
      <c r="B536" s="18" t="s">
        <v>989</v>
      </c>
      <c r="C536" s="19" t="s">
        <v>178</v>
      </c>
      <c r="D536" s="18" t="s">
        <v>179</v>
      </c>
      <c r="E536" s="20" t="s">
        <v>22</v>
      </c>
      <c r="F536" s="21" t="s">
        <v>62</v>
      </c>
      <c r="G536" s="18" t="s">
        <v>24</v>
      </c>
      <c r="H536" s="18">
        <v>190.58</v>
      </c>
      <c r="I536" s="18">
        <v>240.85</v>
      </c>
      <c r="J536" s="18">
        <v>1994</v>
      </c>
      <c r="K536" s="18">
        <v>380016.52</v>
      </c>
      <c r="L536" s="18">
        <v>480254.9</v>
      </c>
      <c r="M536" s="22">
        <v>100238.38</v>
      </c>
      <c r="N536" s="22">
        <v>26.38</v>
      </c>
      <c r="O536" s="23" t="s">
        <v>33</v>
      </c>
      <c r="P536" s="18">
        <v>0.2011</v>
      </c>
      <c r="Q536" s="18">
        <v>1.66</v>
      </c>
    </row>
    <row r="537" spans="1:17" x14ac:dyDescent="0.35">
      <c r="A537" s="12" t="s">
        <v>990</v>
      </c>
      <c r="B537" s="12" t="s">
        <v>991</v>
      </c>
      <c r="C537" s="13" t="s">
        <v>42</v>
      </c>
      <c r="D537" s="12" t="s">
        <v>43</v>
      </c>
      <c r="E537" s="14" t="s">
        <v>44</v>
      </c>
      <c r="F537" s="15" t="s">
        <v>23</v>
      </c>
      <c r="G537" s="12" t="s">
        <v>39</v>
      </c>
      <c r="H537" s="12">
        <v>604.19000000000005</v>
      </c>
      <c r="I537" s="12">
        <v>435.91</v>
      </c>
      <c r="J537" s="12">
        <v>3292</v>
      </c>
      <c r="K537" s="12">
        <v>1988993.48</v>
      </c>
      <c r="L537" s="12">
        <v>1435015.72</v>
      </c>
      <c r="M537" s="16">
        <v>-553977.76</v>
      </c>
      <c r="N537" s="16">
        <v>-27.85</v>
      </c>
      <c r="O537" s="16" t="s">
        <v>33</v>
      </c>
      <c r="P537" s="12">
        <v>0.15409999999999999</v>
      </c>
      <c r="Q537" s="12">
        <v>1.35</v>
      </c>
    </row>
    <row r="538" spans="1:17" x14ac:dyDescent="0.35">
      <c r="A538" s="18" t="s">
        <v>992</v>
      </c>
      <c r="B538" s="18" t="s">
        <v>993</v>
      </c>
      <c r="C538" s="19" t="s">
        <v>72</v>
      </c>
      <c r="D538" s="18" t="s">
        <v>73</v>
      </c>
      <c r="E538" s="20" t="s">
        <v>74</v>
      </c>
      <c r="F538" s="21" t="s">
        <v>98</v>
      </c>
      <c r="G538" s="18" t="s">
        <v>24</v>
      </c>
      <c r="H538" s="18">
        <v>491.69</v>
      </c>
      <c r="I538" s="18">
        <v>574.79999999999995</v>
      </c>
      <c r="J538" s="18">
        <v>4457</v>
      </c>
      <c r="K538" s="18">
        <v>2191462.33</v>
      </c>
      <c r="L538" s="18">
        <v>2561883.6</v>
      </c>
      <c r="M538" s="22">
        <v>370421.27</v>
      </c>
      <c r="N538" s="22">
        <v>16.899999999999999</v>
      </c>
      <c r="O538" s="24" t="s">
        <v>45</v>
      </c>
      <c r="P538" s="18">
        <v>0.48699999999999999</v>
      </c>
      <c r="Q538" s="18">
        <v>0.82</v>
      </c>
    </row>
    <row r="539" spans="1:17" x14ac:dyDescent="0.35">
      <c r="A539" s="12" t="s">
        <v>994</v>
      </c>
      <c r="B539" s="12" t="s">
        <v>995</v>
      </c>
      <c r="C539" s="13" t="s">
        <v>137</v>
      </c>
      <c r="D539" s="12" t="s">
        <v>138</v>
      </c>
      <c r="E539" s="14" t="s">
        <v>50</v>
      </c>
      <c r="F539" s="15" t="s">
        <v>62</v>
      </c>
      <c r="G539" s="12" t="s">
        <v>39</v>
      </c>
      <c r="H539" s="12">
        <v>97.82</v>
      </c>
      <c r="I539" s="12">
        <v>88.67</v>
      </c>
      <c r="J539" s="12">
        <v>3809</v>
      </c>
      <c r="K539" s="12">
        <v>372596.38</v>
      </c>
      <c r="L539" s="12">
        <v>337744.03</v>
      </c>
      <c r="M539" s="16">
        <v>-34852.35</v>
      </c>
      <c r="N539" s="16">
        <v>-9.35</v>
      </c>
      <c r="O539" s="25" t="s">
        <v>45</v>
      </c>
      <c r="P539" s="12">
        <v>0.20069999999999999</v>
      </c>
      <c r="Q539" s="12">
        <v>0.62</v>
      </c>
    </row>
    <row r="540" spans="1:17" x14ac:dyDescent="0.35">
      <c r="A540" s="18" t="s">
        <v>996</v>
      </c>
      <c r="B540" s="18" t="s">
        <v>997</v>
      </c>
      <c r="C540" s="19" t="s">
        <v>103</v>
      </c>
      <c r="D540" s="18" t="s">
        <v>104</v>
      </c>
      <c r="E540" s="20" t="s">
        <v>22</v>
      </c>
      <c r="F540" s="21" t="s">
        <v>23</v>
      </c>
      <c r="G540" s="18" t="s">
        <v>32</v>
      </c>
      <c r="H540" s="18">
        <v>299.08</v>
      </c>
      <c r="I540" s="18">
        <v>289.37</v>
      </c>
      <c r="J540" s="18">
        <v>937</v>
      </c>
      <c r="K540" s="18">
        <v>280237.96000000002</v>
      </c>
      <c r="L540" s="18">
        <v>271139.69</v>
      </c>
      <c r="M540" s="23">
        <v>-9098.27</v>
      </c>
      <c r="N540" s="23">
        <v>-3.25</v>
      </c>
      <c r="O540" s="22" t="s">
        <v>25</v>
      </c>
      <c r="P540" s="18">
        <v>0.3085</v>
      </c>
      <c r="Q540" s="18">
        <v>0.61</v>
      </c>
    </row>
    <row r="541" spans="1:17" x14ac:dyDescent="0.35">
      <c r="A541" s="12" t="s">
        <v>998</v>
      </c>
      <c r="B541" s="12" t="s">
        <v>797</v>
      </c>
      <c r="C541" s="13" t="s">
        <v>60</v>
      </c>
      <c r="D541" s="12" t="s">
        <v>61</v>
      </c>
      <c r="E541" s="14" t="s">
        <v>22</v>
      </c>
      <c r="F541" s="15" t="s">
        <v>38</v>
      </c>
      <c r="G541" s="12" t="s">
        <v>32</v>
      </c>
      <c r="H541" s="12">
        <v>133.36000000000001</v>
      </c>
      <c r="I541" s="12">
        <v>146.44</v>
      </c>
      <c r="J541" s="12">
        <v>1879</v>
      </c>
      <c r="K541" s="12">
        <v>250583.44</v>
      </c>
      <c r="L541" s="12">
        <v>275160.76</v>
      </c>
      <c r="M541" s="17">
        <v>24577.32</v>
      </c>
      <c r="N541" s="17">
        <v>9.81</v>
      </c>
      <c r="O541" s="25" t="s">
        <v>45</v>
      </c>
      <c r="P541" s="12">
        <v>0.46379999999999999</v>
      </c>
      <c r="Q541" s="12">
        <v>1.8</v>
      </c>
    </row>
    <row r="542" spans="1:17" x14ac:dyDescent="0.35">
      <c r="A542" s="18" t="s">
        <v>999</v>
      </c>
      <c r="B542" s="18" t="s">
        <v>1000</v>
      </c>
      <c r="C542" s="19" t="s">
        <v>119</v>
      </c>
      <c r="D542" s="18" t="s">
        <v>120</v>
      </c>
      <c r="E542" s="20" t="s">
        <v>44</v>
      </c>
      <c r="F542" s="21" t="s">
        <v>98</v>
      </c>
      <c r="G542" s="18" t="s">
        <v>32</v>
      </c>
      <c r="H542" s="18">
        <v>52.95</v>
      </c>
      <c r="I542" s="18">
        <v>81.87</v>
      </c>
      <c r="J542" s="18">
        <v>757</v>
      </c>
      <c r="K542" s="18">
        <v>40083.15</v>
      </c>
      <c r="L542" s="18">
        <v>61975.59</v>
      </c>
      <c r="M542" s="22">
        <v>21892.44</v>
      </c>
      <c r="N542" s="22">
        <v>54.62</v>
      </c>
      <c r="O542" s="23" t="s">
        <v>33</v>
      </c>
      <c r="P542" s="18">
        <v>0.14410000000000001</v>
      </c>
      <c r="Q542" s="18">
        <v>1.53</v>
      </c>
    </row>
    <row r="543" spans="1:17" x14ac:dyDescent="0.35">
      <c r="A543" s="12" t="s">
        <v>1001</v>
      </c>
      <c r="B543" s="12" t="s">
        <v>416</v>
      </c>
      <c r="C543" s="13" t="s">
        <v>60</v>
      </c>
      <c r="D543" s="12" t="s">
        <v>61</v>
      </c>
      <c r="E543" s="14" t="s">
        <v>22</v>
      </c>
      <c r="F543" s="15" t="s">
        <v>23</v>
      </c>
      <c r="G543" s="12" t="s">
        <v>39</v>
      </c>
      <c r="H543" s="12">
        <v>156.62</v>
      </c>
      <c r="I543" s="12">
        <v>115.12</v>
      </c>
      <c r="J543" s="12">
        <v>1674</v>
      </c>
      <c r="K543" s="12">
        <v>262181.88</v>
      </c>
      <c r="L543" s="12">
        <v>192710.88</v>
      </c>
      <c r="M543" s="16">
        <v>-69471</v>
      </c>
      <c r="N543" s="16">
        <v>-26.5</v>
      </c>
      <c r="O543" s="16" t="s">
        <v>33</v>
      </c>
      <c r="P543" s="12">
        <v>0.28410000000000002</v>
      </c>
      <c r="Q543" s="12">
        <v>0.62</v>
      </c>
    </row>
    <row r="544" spans="1:17" x14ac:dyDescent="0.35">
      <c r="A544" s="18" t="s">
        <v>1002</v>
      </c>
      <c r="B544" s="18" t="s">
        <v>159</v>
      </c>
      <c r="C544" s="19" t="s">
        <v>150</v>
      </c>
      <c r="D544" s="18" t="s">
        <v>151</v>
      </c>
      <c r="E544" s="20" t="s">
        <v>55</v>
      </c>
      <c r="F544" s="21" t="s">
        <v>23</v>
      </c>
      <c r="G544" s="18" t="s">
        <v>39</v>
      </c>
      <c r="H544" s="18">
        <v>141.01</v>
      </c>
      <c r="I544" s="18">
        <v>135.12</v>
      </c>
      <c r="J544" s="18">
        <v>374</v>
      </c>
      <c r="K544" s="18">
        <v>52737.74</v>
      </c>
      <c r="L544" s="18">
        <v>50534.879999999997</v>
      </c>
      <c r="M544" s="23">
        <v>-2202.86</v>
      </c>
      <c r="N544" s="23">
        <v>-4.18</v>
      </c>
      <c r="O544" s="22" t="s">
        <v>25</v>
      </c>
      <c r="P544" s="18">
        <v>0.16039999999999999</v>
      </c>
      <c r="Q544" s="18">
        <v>1.4</v>
      </c>
    </row>
    <row r="545" spans="1:17" x14ac:dyDescent="0.35">
      <c r="A545" s="12" t="s">
        <v>1003</v>
      </c>
      <c r="B545" s="12" t="s">
        <v>202</v>
      </c>
      <c r="C545" s="13" t="s">
        <v>95</v>
      </c>
      <c r="D545" s="12" t="s">
        <v>96</v>
      </c>
      <c r="E545" s="14" t="s">
        <v>97</v>
      </c>
      <c r="F545" s="15" t="s">
        <v>98</v>
      </c>
      <c r="G545" s="12" t="s">
        <v>32</v>
      </c>
      <c r="H545" s="12">
        <v>197.47</v>
      </c>
      <c r="I545" s="12">
        <v>274.44</v>
      </c>
      <c r="J545" s="12">
        <v>2746</v>
      </c>
      <c r="K545" s="12">
        <v>542252.62</v>
      </c>
      <c r="L545" s="12">
        <v>753612.24</v>
      </c>
      <c r="M545" s="17">
        <v>211359.62</v>
      </c>
      <c r="N545" s="17">
        <v>38.979999999999997</v>
      </c>
      <c r="O545" s="16" t="s">
        <v>33</v>
      </c>
      <c r="P545" s="12">
        <v>0.44019999999999998</v>
      </c>
      <c r="Q545" s="12">
        <v>1.26</v>
      </c>
    </row>
    <row r="546" spans="1:17" x14ac:dyDescent="0.35">
      <c r="A546" s="18" t="s">
        <v>1004</v>
      </c>
      <c r="B546" s="18" t="s">
        <v>1005</v>
      </c>
      <c r="C546" s="19" t="s">
        <v>20</v>
      </c>
      <c r="D546" s="18" t="s">
        <v>21</v>
      </c>
      <c r="E546" s="20" t="s">
        <v>22</v>
      </c>
      <c r="F546" s="21" t="s">
        <v>98</v>
      </c>
      <c r="G546" s="18" t="s">
        <v>39</v>
      </c>
      <c r="H546" s="18">
        <v>574.88</v>
      </c>
      <c r="I546" s="18">
        <v>370.2</v>
      </c>
      <c r="J546" s="18">
        <v>1727</v>
      </c>
      <c r="K546" s="18">
        <v>992817.76</v>
      </c>
      <c r="L546" s="18">
        <v>639335.4</v>
      </c>
      <c r="M546" s="23">
        <v>-353482.36</v>
      </c>
      <c r="N546" s="23">
        <v>-35.6</v>
      </c>
      <c r="O546" s="23" t="s">
        <v>33</v>
      </c>
      <c r="P546" s="18">
        <v>0.40670000000000001</v>
      </c>
      <c r="Q546" s="18">
        <v>1.77</v>
      </c>
    </row>
    <row r="547" spans="1:17" x14ac:dyDescent="0.35">
      <c r="A547" s="12" t="s">
        <v>1006</v>
      </c>
      <c r="B547" s="12" t="s">
        <v>1007</v>
      </c>
      <c r="C547" s="13" t="s">
        <v>150</v>
      </c>
      <c r="D547" s="12" t="s">
        <v>151</v>
      </c>
      <c r="E547" s="14" t="s">
        <v>55</v>
      </c>
      <c r="F547" s="15" t="s">
        <v>98</v>
      </c>
      <c r="G547" s="12" t="s">
        <v>32</v>
      </c>
      <c r="H547" s="12">
        <v>139.53</v>
      </c>
      <c r="I547" s="12">
        <v>149.75</v>
      </c>
      <c r="J547" s="12">
        <v>223</v>
      </c>
      <c r="K547" s="12">
        <v>31115.19</v>
      </c>
      <c r="L547" s="12">
        <v>33394.25</v>
      </c>
      <c r="M547" s="17">
        <v>2279.06</v>
      </c>
      <c r="N547" s="17">
        <v>7.32</v>
      </c>
      <c r="O547" s="17" t="s">
        <v>25</v>
      </c>
      <c r="P547" s="12">
        <v>0.1714</v>
      </c>
      <c r="Q547" s="12">
        <v>1.55</v>
      </c>
    </row>
    <row r="548" spans="1:17" x14ac:dyDescent="0.35">
      <c r="A548" s="18" t="s">
        <v>1008</v>
      </c>
      <c r="B548" s="18" t="s">
        <v>758</v>
      </c>
      <c r="C548" s="19" t="s">
        <v>178</v>
      </c>
      <c r="D548" s="18" t="s">
        <v>179</v>
      </c>
      <c r="E548" s="20" t="s">
        <v>22</v>
      </c>
      <c r="F548" s="21" t="s">
        <v>62</v>
      </c>
      <c r="G548" s="18" t="s">
        <v>39</v>
      </c>
      <c r="H548" s="18">
        <v>168.25</v>
      </c>
      <c r="I548" s="18">
        <v>111.24</v>
      </c>
      <c r="J548" s="18">
        <v>1369</v>
      </c>
      <c r="K548" s="18">
        <v>230334.25</v>
      </c>
      <c r="L548" s="18">
        <v>152287.56</v>
      </c>
      <c r="M548" s="23">
        <v>-78046.69</v>
      </c>
      <c r="N548" s="23">
        <v>-33.880000000000003</v>
      </c>
      <c r="O548" s="23" t="s">
        <v>33</v>
      </c>
      <c r="P548" s="18">
        <v>0.18779999999999999</v>
      </c>
      <c r="Q548" s="18">
        <v>0.71</v>
      </c>
    </row>
    <row r="549" spans="1:17" x14ac:dyDescent="0.35">
      <c r="A549" s="12" t="s">
        <v>1009</v>
      </c>
      <c r="B549" s="12" t="s">
        <v>412</v>
      </c>
      <c r="C549" s="13" t="s">
        <v>53</v>
      </c>
      <c r="D549" s="12" t="s">
        <v>54</v>
      </c>
      <c r="E549" s="14" t="s">
        <v>55</v>
      </c>
      <c r="F549" s="15" t="s">
        <v>31</v>
      </c>
      <c r="G549" s="12" t="s">
        <v>32</v>
      </c>
      <c r="H549" s="12">
        <v>93.9</v>
      </c>
      <c r="I549" s="12">
        <v>128.72999999999999</v>
      </c>
      <c r="J549" s="12">
        <v>3012</v>
      </c>
      <c r="K549" s="12">
        <v>282826.8</v>
      </c>
      <c r="L549" s="12">
        <v>387734.76</v>
      </c>
      <c r="M549" s="17">
        <v>104907.96</v>
      </c>
      <c r="N549" s="17">
        <v>37.090000000000003</v>
      </c>
      <c r="O549" s="16" t="s">
        <v>33</v>
      </c>
      <c r="P549" s="12">
        <v>0.46029999999999999</v>
      </c>
      <c r="Q549" s="12">
        <v>0.75</v>
      </c>
    </row>
    <row r="550" spans="1:17" x14ac:dyDescent="0.35">
      <c r="A550" s="18" t="s">
        <v>1010</v>
      </c>
      <c r="B550" s="18" t="s">
        <v>280</v>
      </c>
      <c r="C550" s="19" t="s">
        <v>150</v>
      </c>
      <c r="D550" s="18" t="s">
        <v>151</v>
      </c>
      <c r="E550" s="20" t="s">
        <v>55</v>
      </c>
      <c r="F550" s="21" t="s">
        <v>38</v>
      </c>
      <c r="G550" s="18" t="s">
        <v>65</v>
      </c>
      <c r="H550" s="18">
        <v>132.74</v>
      </c>
      <c r="I550" s="18">
        <v>151.91</v>
      </c>
      <c r="J550" s="18">
        <v>1680</v>
      </c>
      <c r="K550" s="18">
        <v>223003.2</v>
      </c>
      <c r="L550" s="18">
        <v>255208.8</v>
      </c>
      <c r="M550" s="22">
        <v>32205.599999999999</v>
      </c>
      <c r="N550" s="22">
        <v>14.44</v>
      </c>
      <c r="O550" s="24" t="s">
        <v>45</v>
      </c>
      <c r="P550" s="18">
        <v>0.43149999999999999</v>
      </c>
      <c r="Q550" s="18">
        <v>0.9</v>
      </c>
    </row>
    <row r="551" spans="1:17" x14ac:dyDescent="0.35">
      <c r="A551" s="12" t="s">
        <v>1011</v>
      </c>
      <c r="B551" s="12" t="s">
        <v>1012</v>
      </c>
      <c r="C551" s="13" t="s">
        <v>103</v>
      </c>
      <c r="D551" s="12" t="s">
        <v>104</v>
      </c>
      <c r="E551" s="14" t="s">
        <v>22</v>
      </c>
      <c r="F551" s="15" t="s">
        <v>62</v>
      </c>
      <c r="G551" s="12" t="s">
        <v>39</v>
      </c>
      <c r="H551" s="12">
        <v>324.10000000000002</v>
      </c>
      <c r="I551" s="12">
        <v>274.01</v>
      </c>
      <c r="J551" s="12">
        <v>2514</v>
      </c>
      <c r="K551" s="12">
        <v>814787.4</v>
      </c>
      <c r="L551" s="12">
        <v>688861.14</v>
      </c>
      <c r="M551" s="16">
        <v>-125926.26</v>
      </c>
      <c r="N551" s="16">
        <v>-15.46</v>
      </c>
      <c r="O551" s="25" t="s">
        <v>45</v>
      </c>
      <c r="P551" s="12">
        <v>0.36370000000000002</v>
      </c>
      <c r="Q551" s="12">
        <v>1.25</v>
      </c>
    </row>
    <row r="552" spans="1:17" x14ac:dyDescent="0.35">
      <c r="A552" s="18" t="s">
        <v>1013</v>
      </c>
      <c r="B552" s="18" t="s">
        <v>1014</v>
      </c>
      <c r="C552" s="19" t="s">
        <v>215</v>
      </c>
      <c r="D552" s="18" t="s">
        <v>216</v>
      </c>
      <c r="E552" s="20" t="s">
        <v>50</v>
      </c>
      <c r="F552" s="21" t="s">
        <v>62</v>
      </c>
      <c r="G552" s="18" t="s">
        <v>24</v>
      </c>
      <c r="H552" s="18">
        <v>143.69999999999999</v>
      </c>
      <c r="I552" s="18">
        <v>179.88</v>
      </c>
      <c r="J552" s="18">
        <v>4642</v>
      </c>
      <c r="K552" s="18">
        <v>667055.4</v>
      </c>
      <c r="L552" s="18">
        <v>835002.96</v>
      </c>
      <c r="M552" s="22">
        <v>167947.56</v>
      </c>
      <c r="N552" s="22">
        <v>25.18</v>
      </c>
      <c r="O552" s="23" t="s">
        <v>33</v>
      </c>
      <c r="P552" s="18">
        <v>0.31319999999999998</v>
      </c>
      <c r="Q552" s="18">
        <v>1.58</v>
      </c>
    </row>
    <row r="553" spans="1:17" x14ac:dyDescent="0.35">
      <c r="A553" s="12" t="s">
        <v>1015</v>
      </c>
      <c r="B553" s="12" t="s">
        <v>1016</v>
      </c>
      <c r="C553" s="13" t="s">
        <v>36</v>
      </c>
      <c r="D553" s="12" t="s">
        <v>37</v>
      </c>
      <c r="E553" s="14" t="s">
        <v>30</v>
      </c>
      <c r="F553" s="15" t="s">
        <v>31</v>
      </c>
      <c r="G553" s="12" t="s">
        <v>39</v>
      </c>
      <c r="H553" s="12">
        <v>202.38</v>
      </c>
      <c r="I553" s="12">
        <v>142.75</v>
      </c>
      <c r="J553" s="12">
        <v>4244</v>
      </c>
      <c r="K553" s="12">
        <v>858900.72</v>
      </c>
      <c r="L553" s="12">
        <v>605831</v>
      </c>
      <c r="M553" s="16">
        <v>-253069.72</v>
      </c>
      <c r="N553" s="16">
        <v>-29.46</v>
      </c>
      <c r="O553" s="16" t="s">
        <v>33</v>
      </c>
      <c r="P553" s="12">
        <v>0.128</v>
      </c>
      <c r="Q553" s="12">
        <v>1.63</v>
      </c>
    </row>
    <row r="554" spans="1:17" x14ac:dyDescent="0.35">
      <c r="A554" s="18" t="s">
        <v>1017</v>
      </c>
      <c r="B554" s="18" t="s">
        <v>1018</v>
      </c>
      <c r="C554" s="19" t="s">
        <v>53</v>
      </c>
      <c r="D554" s="18" t="s">
        <v>54</v>
      </c>
      <c r="E554" s="20" t="s">
        <v>55</v>
      </c>
      <c r="F554" s="21" t="s">
        <v>31</v>
      </c>
      <c r="G554" s="18" t="s">
        <v>65</v>
      </c>
      <c r="H554" s="18">
        <v>98.61</v>
      </c>
      <c r="I554" s="18">
        <v>99.88</v>
      </c>
      <c r="J554" s="18">
        <v>4515</v>
      </c>
      <c r="K554" s="18">
        <v>445224.15</v>
      </c>
      <c r="L554" s="18">
        <v>450958.2</v>
      </c>
      <c r="M554" s="22">
        <v>5734.05</v>
      </c>
      <c r="N554" s="22">
        <v>1.29</v>
      </c>
      <c r="O554" s="22" t="s">
        <v>25</v>
      </c>
      <c r="P554" s="18">
        <v>0.4138</v>
      </c>
      <c r="Q554" s="18">
        <v>1.52</v>
      </c>
    </row>
    <row r="555" spans="1:17" x14ac:dyDescent="0.35">
      <c r="A555" s="12" t="s">
        <v>1019</v>
      </c>
      <c r="B555" s="12" t="s">
        <v>993</v>
      </c>
      <c r="C555" s="13" t="s">
        <v>87</v>
      </c>
      <c r="D555" s="12" t="s">
        <v>88</v>
      </c>
      <c r="E555" s="14" t="s">
        <v>22</v>
      </c>
      <c r="F555" s="15" t="s">
        <v>98</v>
      </c>
      <c r="G555" s="12" t="s">
        <v>24</v>
      </c>
      <c r="H555" s="12">
        <v>364.79</v>
      </c>
      <c r="I555" s="12">
        <v>349.22</v>
      </c>
      <c r="J555" s="12">
        <v>3457</v>
      </c>
      <c r="K555" s="12">
        <v>1261079.03</v>
      </c>
      <c r="L555" s="12">
        <v>1207253.54</v>
      </c>
      <c r="M555" s="16">
        <v>-53825.49</v>
      </c>
      <c r="N555" s="16">
        <v>-4.2699999999999996</v>
      </c>
      <c r="O555" s="17" t="s">
        <v>25</v>
      </c>
      <c r="P555" s="12">
        <v>0.34499999999999997</v>
      </c>
      <c r="Q555" s="12">
        <v>0.68</v>
      </c>
    </row>
    <row r="556" spans="1:17" x14ac:dyDescent="0.35">
      <c r="A556" s="18" t="s">
        <v>1020</v>
      </c>
      <c r="B556" s="18" t="s">
        <v>1021</v>
      </c>
      <c r="C556" s="19" t="s">
        <v>87</v>
      </c>
      <c r="D556" s="18" t="s">
        <v>88</v>
      </c>
      <c r="E556" s="20" t="s">
        <v>22</v>
      </c>
      <c r="F556" s="21" t="s">
        <v>23</v>
      </c>
      <c r="G556" s="18" t="s">
        <v>32</v>
      </c>
      <c r="H556" s="18">
        <v>348.46</v>
      </c>
      <c r="I556" s="18">
        <v>330.73</v>
      </c>
      <c r="J556" s="18">
        <v>976</v>
      </c>
      <c r="K556" s="18">
        <v>340096.96</v>
      </c>
      <c r="L556" s="18">
        <v>322792.48</v>
      </c>
      <c r="M556" s="23">
        <v>-17304.48</v>
      </c>
      <c r="N556" s="23">
        <v>-5.09</v>
      </c>
      <c r="O556" s="22" t="s">
        <v>25</v>
      </c>
      <c r="P556" s="18">
        <v>0.36549999999999999</v>
      </c>
      <c r="Q556" s="18">
        <v>1.6</v>
      </c>
    </row>
    <row r="557" spans="1:17" x14ac:dyDescent="0.35">
      <c r="A557" s="12" t="s">
        <v>1022</v>
      </c>
      <c r="B557" s="12" t="s">
        <v>440</v>
      </c>
      <c r="C557" s="13" t="s">
        <v>115</v>
      </c>
      <c r="D557" s="12" t="s">
        <v>116</v>
      </c>
      <c r="E557" s="14" t="s">
        <v>55</v>
      </c>
      <c r="F557" s="15" t="s">
        <v>31</v>
      </c>
      <c r="G557" s="12" t="s">
        <v>24</v>
      </c>
      <c r="H557" s="12">
        <v>714.65</v>
      </c>
      <c r="I557" s="12">
        <v>988</v>
      </c>
      <c r="J557" s="12">
        <v>3101</v>
      </c>
      <c r="K557" s="12">
        <v>2216129.65</v>
      </c>
      <c r="L557" s="12">
        <v>3063788</v>
      </c>
      <c r="M557" s="17">
        <v>847658.35</v>
      </c>
      <c r="N557" s="17">
        <v>38.25</v>
      </c>
      <c r="O557" s="16" t="s">
        <v>33</v>
      </c>
      <c r="P557" s="12">
        <v>0.12559999999999999</v>
      </c>
      <c r="Q557" s="12">
        <v>1.71</v>
      </c>
    </row>
    <row r="558" spans="1:17" x14ac:dyDescent="0.35">
      <c r="A558" s="18" t="s">
        <v>1023</v>
      </c>
      <c r="B558" s="18" t="s">
        <v>1024</v>
      </c>
      <c r="C558" s="19" t="s">
        <v>115</v>
      </c>
      <c r="D558" s="18" t="s">
        <v>116</v>
      </c>
      <c r="E558" s="20" t="s">
        <v>55</v>
      </c>
      <c r="F558" s="21" t="s">
        <v>31</v>
      </c>
      <c r="G558" s="18" t="s">
        <v>39</v>
      </c>
      <c r="H558" s="18">
        <v>793.58</v>
      </c>
      <c r="I558" s="18">
        <v>834.52</v>
      </c>
      <c r="J558" s="18">
        <v>3056</v>
      </c>
      <c r="K558" s="18">
        <v>2425180.48</v>
      </c>
      <c r="L558" s="18">
        <v>2550293.12</v>
      </c>
      <c r="M558" s="22">
        <v>125112.64</v>
      </c>
      <c r="N558" s="22">
        <v>5.16</v>
      </c>
      <c r="O558" s="22" t="s">
        <v>25</v>
      </c>
      <c r="P558" s="18">
        <v>0.2989</v>
      </c>
      <c r="Q558" s="18">
        <v>1.04</v>
      </c>
    </row>
    <row r="559" spans="1:17" x14ac:dyDescent="0.35">
      <c r="A559" s="12" t="s">
        <v>1025</v>
      </c>
      <c r="B559" s="12" t="s">
        <v>1026</v>
      </c>
      <c r="C559" s="13" t="s">
        <v>103</v>
      </c>
      <c r="D559" s="12" t="s">
        <v>104</v>
      </c>
      <c r="E559" s="14" t="s">
        <v>22</v>
      </c>
      <c r="F559" s="15" t="s">
        <v>62</v>
      </c>
      <c r="G559" s="12" t="s">
        <v>24</v>
      </c>
      <c r="H559" s="12">
        <v>342.49</v>
      </c>
      <c r="I559" s="12">
        <v>501.45</v>
      </c>
      <c r="J559" s="12">
        <v>433</v>
      </c>
      <c r="K559" s="12">
        <v>148298.17000000001</v>
      </c>
      <c r="L559" s="12">
        <v>217127.85</v>
      </c>
      <c r="M559" s="17">
        <v>68829.679999999993</v>
      </c>
      <c r="N559" s="17">
        <v>46.41</v>
      </c>
      <c r="O559" s="16" t="s">
        <v>33</v>
      </c>
      <c r="P559" s="12">
        <v>0.1535</v>
      </c>
      <c r="Q559" s="12">
        <v>0.86</v>
      </c>
    </row>
    <row r="560" spans="1:17" x14ac:dyDescent="0.35">
      <c r="A560" s="18" t="s">
        <v>1027</v>
      </c>
      <c r="B560" s="18" t="s">
        <v>1028</v>
      </c>
      <c r="C560" s="19" t="s">
        <v>72</v>
      </c>
      <c r="D560" s="18" t="s">
        <v>73</v>
      </c>
      <c r="E560" s="20" t="s">
        <v>74</v>
      </c>
      <c r="F560" s="21" t="s">
        <v>23</v>
      </c>
      <c r="G560" s="18" t="s">
        <v>32</v>
      </c>
      <c r="H560" s="18">
        <v>434.52</v>
      </c>
      <c r="I560" s="18">
        <v>441.12</v>
      </c>
      <c r="J560" s="18">
        <v>4455</v>
      </c>
      <c r="K560" s="18">
        <v>1935786.6</v>
      </c>
      <c r="L560" s="18">
        <v>1965189.6</v>
      </c>
      <c r="M560" s="22">
        <v>29403</v>
      </c>
      <c r="N560" s="22">
        <v>1.52</v>
      </c>
      <c r="O560" s="22" t="s">
        <v>25</v>
      </c>
      <c r="P560" s="18">
        <v>0.40250000000000002</v>
      </c>
      <c r="Q560" s="18">
        <v>1.28</v>
      </c>
    </row>
    <row r="561" spans="1:17" x14ac:dyDescent="0.35">
      <c r="A561" s="12" t="s">
        <v>1029</v>
      </c>
      <c r="B561" s="12" t="s">
        <v>1030</v>
      </c>
      <c r="C561" s="13" t="s">
        <v>170</v>
      </c>
      <c r="D561" s="12" t="s">
        <v>171</v>
      </c>
      <c r="E561" s="14" t="s">
        <v>97</v>
      </c>
      <c r="F561" s="15" t="s">
        <v>31</v>
      </c>
      <c r="G561" s="12" t="s">
        <v>32</v>
      </c>
      <c r="H561" s="12">
        <v>138.82</v>
      </c>
      <c r="I561" s="12">
        <v>166.74</v>
      </c>
      <c r="J561" s="12">
        <v>4823</v>
      </c>
      <c r="K561" s="12">
        <v>669528.86</v>
      </c>
      <c r="L561" s="12">
        <v>804187.02</v>
      </c>
      <c r="M561" s="17">
        <v>134658.16</v>
      </c>
      <c r="N561" s="17">
        <v>20.11</v>
      </c>
      <c r="O561" s="25" t="s">
        <v>45</v>
      </c>
      <c r="P561" s="12">
        <v>0.40610000000000002</v>
      </c>
      <c r="Q561" s="12">
        <v>1.66</v>
      </c>
    </row>
    <row r="562" spans="1:17" x14ac:dyDescent="0.35">
      <c r="A562" s="18" t="s">
        <v>1031</v>
      </c>
      <c r="B562" s="18" t="s">
        <v>799</v>
      </c>
      <c r="C562" s="19" t="s">
        <v>170</v>
      </c>
      <c r="D562" s="18" t="s">
        <v>171</v>
      </c>
      <c r="E562" s="20" t="s">
        <v>97</v>
      </c>
      <c r="F562" s="21" t="s">
        <v>62</v>
      </c>
      <c r="G562" s="18" t="s">
        <v>32</v>
      </c>
      <c r="H562" s="18">
        <v>151.85</v>
      </c>
      <c r="I562" s="18">
        <v>190.38</v>
      </c>
      <c r="J562" s="18">
        <v>2864</v>
      </c>
      <c r="K562" s="18">
        <v>434898.4</v>
      </c>
      <c r="L562" s="18">
        <v>545248.31999999995</v>
      </c>
      <c r="M562" s="22">
        <v>110349.92</v>
      </c>
      <c r="N562" s="22">
        <v>25.37</v>
      </c>
      <c r="O562" s="23" t="s">
        <v>33</v>
      </c>
      <c r="P562" s="18">
        <v>0.378</v>
      </c>
      <c r="Q562" s="18">
        <v>1.72</v>
      </c>
    </row>
    <row r="563" spans="1:17" x14ac:dyDescent="0.35">
      <c r="A563" s="12" t="s">
        <v>1032</v>
      </c>
      <c r="B563" s="12" t="s">
        <v>938</v>
      </c>
      <c r="C563" s="13" t="s">
        <v>215</v>
      </c>
      <c r="D563" s="12" t="s">
        <v>216</v>
      </c>
      <c r="E563" s="14" t="s">
        <v>50</v>
      </c>
      <c r="F563" s="15" t="s">
        <v>98</v>
      </c>
      <c r="G563" s="12" t="s">
        <v>65</v>
      </c>
      <c r="H563" s="12">
        <v>172.68</v>
      </c>
      <c r="I563" s="12">
        <v>204.01</v>
      </c>
      <c r="J563" s="12">
        <v>3477</v>
      </c>
      <c r="K563" s="12">
        <v>600408.36</v>
      </c>
      <c r="L563" s="12">
        <v>709342.77</v>
      </c>
      <c r="M563" s="17">
        <v>108934.41</v>
      </c>
      <c r="N563" s="17">
        <v>18.14</v>
      </c>
      <c r="O563" s="25" t="s">
        <v>45</v>
      </c>
      <c r="P563" s="12">
        <v>0.43209999999999998</v>
      </c>
      <c r="Q563" s="12">
        <v>1.33</v>
      </c>
    </row>
    <row r="564" spans="1:17" x14ac:dyDescent="0.35">
      <c r="A564" s="18" t="s">
        <v>1033</v>
      </c>
      <c r="B564" s="18" t="s">
        <v>421</v>
      </c>
      <c r="C564" s="19" t="s">
        <v>28</v>
      </c>
      <c r="D564" s="18" t="s">
        <v>29</v>
      </c>
      <c r="E564" s="20" t="s">
        <v>30</v>
      </c>
      <c r="F564" s="21" t="s">
        <v>38</v>
      </c>
      <c r="G564" s="18" t="s">
        <v>39</v>
      </c>
      <c r="H564" s="18">
        <v>270.68</v>
      </c>
      <c r="I564" s="18">
        <v>199.46</v>
      </c>
      <c r="J564" s="18">
        <v>4607</v>
      </c>
      <c r="K564" s="18">
        <v>1247022.76</v>
      </c>
      <c r="L564" s="18">
        <v>918912.22</v>
      </c>
      <c r="M564" s="23">
        <v>-328110.53999999998</v>
      </c>
      <c r="N564" s="23">
        <v>-26.31</v>
      </c>
      <c r="O564" s="23" t="s">
        <v>33</v>
      </c>
      <c r="P564" s="18">
        <v>0.53349999999999997</v>
      </c>
      <c r="Q564" s="18">
        <v>1.1399999999999999</v>
      </c>
    </row>
    <row r="565" spans="1:17" x14ac:dyDescent="0.35">
      <c r="A565" s="12" t="s">
        <v>1034</v>
      </c>
      <c r="B565" s="12" t="s">
        <v>723</v>
      </c>
      <c r="C565" s="13" t="s">
        <v>77</v>
      </c>
      <c r="D565" s="12" t="s">
        <v>78</v>
      </c>
      <c r="E565" s="14" t="s">
        <v>44</v>
      </c>
      <c r="F565" s="15" t="s">
        <v>98</v>
      </c>
      <c r="G565" s="12" t="s">
        <v>32</v>
      </c>
      <c r="H565" s="12">
        <v>141.06</v>
      </c>
      <c r="I565" s="12">
        <v>137.47</v>
      </c>
      <c r="J565" s="12">
        <v>4980</v>
      </c>
      <c r="K565" s="12">
        <v>702478.8</v>
      </c>
      <c r="L565" s="12">
        <v>684600.6</v>
      </c>
      <c r="M565" s="16">
        <v>-17878.2</v>
      </c>
      <c r="N565" s="16">
        <v>-2.5499999999999998</v>
      </c>
      <c r="O565" s="17" t="s">
        <v>25</v>
      </c>
      <c r="P565" s="12">
        <v>0.50280000000000002</v>
      </c>
      <c r="Q565" s="12">
        <v>0.61</v>
      </c>
    </row>
    <row r="566" spans="1:17" x14ac:dyDescent="0.35">
      <c r="A566" s="18" t="s">
        <v>1035</v>
      </c>
      <c r="B566" s="18" t="s">
        <v>1036</v>
      </c>
      <c r="C566" s="19" t="s">
        <v>150</v>
      </c>
      <c r="D566" s="18" t="s">
        <v>151</v>
      </c>
      <c r="E566" s="20" t="s">
        <v>55</v>
      </c>
      <c r="F566" s="21" t="s">
        <v>31</v>
      </c>
      <c r="G566" s="18" t="s">
        <v>65</v>
      </c>
      <c r="H566" s="18">
        <v>174.49</v>
      </c>
      <c r="I566" s="18">
        <v>216</v>
      </c>
      <c r="J566" s="18">
        <v>2360</v>
      </c>
      <c r="K566" s="18">
        <v>411796.4</v>
      </c>
      <c r="L566" s="18">
        <v>509760</v>
      </c>
      <c r="M566" s="22">
        <v>97963.6</v>
      </c>
      <c r="N566" s="22">
        <v>23.79</v>
      </c>
      <c r="O566" s="23" t="s">
        <v>33</v>
      </c>
      <c r="P566" s="18">
        <v>0.3654</v>
      </c>
      <c r="Q566" s="18">
        <v>1.29</v>
      </c>
    </row>
    <row r="567" spans="1:17" x14ac:dyDescent="0.35">
      <c r="A567" s="12" t="s">
        <v>1037</v>
      </c>
      <c r="B567" s="12" t="s">
        <v>389</v>
      </c>
      <c r="C567" s="13" t="s">
        <v>20</v>
      </c>
      <c r="D567" s="12" t="s">
        <v>21</v>
      </c>
      <c r="E567" s="14" t="s">
        <v>22</v>
      </c>
      <c r="F567" s="15" t="s">
        <v>98</v>
      </c>
      <c r="G567" s="12" t="s">
        <v>39</v>
      </c>
      <c r="H567" s="12">
        <v>534.91</v>
      </c>
      <c r="I567" s="12">
        <v>421.97</v>
      </c>
      <c r="J567" s="12">
        <v>1378</v>
      </c>
      <c r="K567" s="12">
        <v>737105.98</v>
      </c>
      <c r="L567" s="12">
        <v>581474.66</v>
      </c>
      <c r="M567" s="16">
        <v>-155631.32</v>
      </c>
      <c r="N567" s="16">
        <v>-21.11</v>
      </c>
      <c r="O567" s="25" t="s">
        <v>45</v>
      </c>
      <c r="P567" s="12">
        <v>0.37030000000000002</v>
      </c>
      <c r="Q567" s="12">
        <v>0.88</v>
      </c>
    </row>
    <row r="568" spans="1:17" x14ac:dyDescent="0.35">
      <c r="A568" s="18" t="s">
        <v>1038</v>
      </c>
      <c r="B568" s="18" t="s">
        <v>140</v>
      </c>
      <c r="C568" s="19" t="s">
        <v>137</v>
      </c>
      <c r="D568" s="18" t="s">
        <v>138</v>
      </c>
      <c r="E568" s="20" t="s">
        <v>50</v>
      </c>
      <c r="F568" s="21" t="s">
        <v>62</v>
      </c>
      <c r="G568" s="18" t="s">
        <v>32</v>
      </c>
      <c r="H568" s="18">
        <v>112.38</v>
      </c>
      <c r="I568" s="18">
        <v>155.82</v>
      </c>
      <c r="J568" s="18">
        <v>1881</v>
      </c>
      <c r="K568" s="18">
        <v>211386.78</v>
      </c>
      <c r="L568" s="18">
        <v>293097.42</v>
      </c>
      <c r="M568" s="22">
        <v>81710.64</v>
      </c>
      <c r="N568" s="22">
        <v>38.65</v>
      </c>
      <c r="O568" s="23" t="s">
        <v>33</v>
      </c>
      <c r="P568" s="18">
        <v>0.46089999999999998</v>
      </c>
      <c r="Q568" s="18">
        <v>0.81</v>
      </c>
    </row>
    <row r="569" spans="1:17" x14ac:dyDescent="0.35">
      <c r="A569" s="12" t="s">
        <v>1039</v>
      </c>
      <c r="B569" s="12" t="s">
        <v>1040</v>
      </c>
      <c r="C569" s="13" t="s">
        <v>28</v>
      </c>
      <c r="D569" s="12" t="s">
        <v>29</v>
      </c>
      <c r="E569" s="14" t="s">
        <v>30</v>
      </c>
      <c r="F569" s="15" t="s">
        <v>31</v>
      </c>
      <c r="G569" s="12" t="s">
        <v>24</v>
      </c>
      <c r="H569" s="12">
        <v>231.47</v>
      </c>
      <c r="I569" s="12">
        <v>330.1</v>
      </c>
      <c r="J569" s="12">
        <v>4820</v>
      </c>
      <c r="K569" s="12">
        <v>1115685.3999999999</v>
      </c>
      <c r="L569" s="12">
        <v>1591082</v>
      </c>
      <c r="M569" s="17">
        <v>475396.6</v>
      </c>
      <c r="N569" s="17">
        <v>42.61</v>
      </c>
      <c r="O569" s="16" t="s">
        <v>33</v>
      </c>
      <c r="P569" s="12">
        <v>0.51639999999999997</v>
      </c>
      <c r="Q569" s="12">
        <v>1</v>
      </c>
    </row>
    <row r="570" spans="1:17" x14ac:dyDescent="0.35">
      <c r="A570" s="18" t="s">
        <v>1041</v>
      </c>
      <c r="B570" s="18" t="s">
        <v>451</v>
      </c>
      <c r="C570" s="19" t="s">
        <v>42</v>
      </c>
      <c r="D570" s="18" t="s">
        <v>43</v>
      </c>
      <c r="E570" s="20" t="s">
        <v>44</v>
      </c>
      <c r="F570" s="21" t="s">
        <v>23</v>
      </c>
      <c r="G570" s="18" t="s">
        <v>32</v>
      </c>
      <c r="H570" s="18">
        <v>572.09</v>
      </c>
      <c r="I570" s="18">
        <v>756.61</v>
      </c>
      <c r="J570" s="18">
        <v>193</v>
      </c>
      <c r="K570" s="18">
        <v>110413.37</v>
      </c>
      <c r="L570" s="18">
        <v>146025.73000000001</v>
      </c>
      <c r="M570" s="22">
        <v>35612.36</v>
      </c>
      <c r="N570" s="22">
        <v>32.25</v>
      </c>
      <c r="O570" s="23" t="s">
        <v>33</v>
      </c>
      <c r="P570" s="18">
        <v>0.14330000000000001</v>
      </c>
      <c r="Q570" s="18">
        <v>1.23</v>
      </c>
    </row>
    <row r="571" spans="1:17" x14ac:dyDescent="0.35">
      <c r="A571" s="12" t="s">
        <v>1042</v>
      </c>
      <c r="B571" s="12" t="s">
        <v>94</v>
      </c>
      <c r="C571" s="13" t="s">
        <v>215</v>
      </c>
      <c r="D571" s="12" t="s">
        <v>216</v>
      </c>
      <c r="E571" s="14" t="s">
        <v>50</v>
      </c>
      <c r="F571" s="15" t="s">
        <v>98</v>
      </c>
      <c r="G571" s="12" t="s">
        <v>32</v>
      </c>
      <c r="H571" s="12">
        <v>169.49</v>
      </c>
      <c r="I571" s="12">
        <v>167.33</v>
      </c>
      <c r="J571" s="12">
        <v>4215</v>
      </c>
      <c r="K571" s="12">
        <v>714400.35</v>
      </c>
      <c r="L571" s="12">
        <v>705295.95</v>
      </c>
      <c r="M571" s="16">
        <v>-9104.4</v>
      </c>
      <c r="N571" s="16">
        <v>-1.27</v>
      </c>
      <c r="O571" s="17" t="s">
        <v>25</v>
      </c>
      <c r="P571" s="12">
        <v>0.40970000000000001</v>
      </c>
      <c r="Q571" s="12">
        <v>1.8</v>
      </c>
    </row>
    <row r="572" spans="1:17" x14ac:dyDescent="0.35">
      <c r="A572" s="18" t="s">
        <v>1043</v>
      </c>
      <c r="B572" s="18" t="s">
        <v>1044</v>
      </c>
      <c r="C572" s="19" t="s">
        <v>119</v>
      </c>
      <c r="D572" s="18" t="s">
        <v>120</v>
      </c>
      <c r="E572" s="20" t="s">
        <v>44</v>
      </c>
      <c r="F572" s="21" t="s">
        <v>23</v>
      </c>
      <c r="G572" s="18" t="s">
        <v>32</v>
      </c>
      <c r="H572" s="18">
        <v>44.97</v>
      </c>
      <c r="I572" s="18">
        <v>51.99</v>
      </c>
      <c r="J572" s="18">
        <v>3638</v>
      </c>
      <c r="K572" s="18">
        <v>163600.85999999999</v>
      </c>
      <c r="L572" s="18">
        <v>189139.62</v>
      </c>
      <c r="M572" s="22">
        <v>25538.76</v>
      </c>
      <c r="N572" s="22">
        <v>15.61</v>
      </c>
      <c r="O572" s="24" t="s">
        <v>45</v>
      </c>
      <c r="P572" s="18">
        <v>0.17680000000000001</v>
      </c>
      <c r="Q572" s="18">
        <v>0.7</v>
      </c>
    </row>
    <row r="573" spans="1:17" x14ac:dyDescent="0.35">
      <c r="A573" s="12" t="s">
        <v>1045</v>
      </c>
      <c r="B573" s="12" t="s">
        <v>1046</v>
      </c>
      <c r="C573" s="13" t="s">
        <v>28</v>
      </c>
      <c r="D573" s="12" t="s">
        <v>29</v>
      </c>
      <c r="E573" s="14" t="s">
        <v>30</v>
      </c>
      <c r="F573" s="15" t="s">
        <v>98</v>
      </c>
      <c r="G573" s="12" t="s">
        <v>32</v>
      </c>
      <c r="H573" s="12">
        <v>232.69</v>
      </c>
      <c r="I573" s="12">
        <v>275.54000000000002</v>
      </c>
      <c r="J573" s="12">
        <v>796</v>
      </c>
      <c r="K573" s="12">
        <v>185221.24</v>
      </c>
      <c r="L573" s="12">
        <v>219329.84</v>
      </c>
      <c r="M573" s="17">
        <v>34108.6</v>
      </c>
      <c r="N573" s="17">
        <v>18.420000000000002</v>
      </c>
      <c r="O573" s="25" t="s">
        <v>45</v>
      </c>
      <c r="P573" s="12">
        <v>0.42009999999999997</v>
      </c>
      <c r="Q573" s="12">
        <v>1.51</v>
      </c>
    </row>
    <row r="574" spans="1:17" x14ac:dyDescent="0.35">
      <c r="A574" s="18" t="s">
        <v>1047</v>
      </c>
      <c r="B574" s="18" t="s">
        <v>1048</v>
      </c>
      <c r="C574" s="19" t="s">
        <v>115</v>
      </c>
      <c r="D574" s="18" t="s">
        <v>116</v>
      </c>
      <c r="E574" s="20" t="s">
        <v>55</v>
      </c>
      <c r="F574" s="21" t="s">
        <v>38</v>
      </c>
      <c r="G574" s="18" t="s">
        <v>39</v>
      </c>
      <c r="H574" s="18">
        <v>815.63</v>
      </c>
      <c r="I574" s="18">
        <v>579.27</v>
      </c>
      <c r="J574" s="18">
        <v>3338</v>
      </c>
      <c r="K574" s="18">
        <v>2722572.94</v>
      </c>
      <c r="L574" s="18">
        <v>1933603.26</v>
      </c>
      <c r="M574" s="23">
        <v>-788969.68</v>
      </c>
      <c r="N574" s="23">
        <v>-28.98</v>
      </c>
      <c r="O574" s="23" t="s">
        <v>33</v>
      </c>
      <c r="P574" s="18">
        <v>0.38490000000000002</v>
      </c>
      <c r="Q574" s="18">
        <v>1.48</v>
      </c>
    </row>
    <row r="575" spans="1:17" x14ac:dyDescent="0.35">
      <c r="A575" s="12" t="s">
        <v>1049</v>
      </c>
      <c r="B575" s="12" t="s">
        <v>1050</v>
      </c>
      <c r="C575" s="13" t="s">
        <v>150</v>
      </c>
      <c r="D575" s="12" t="s">
        <v>151</v>
      </c>
      <c r="E575" s="14" t="s">
        <v>55</v>
      </c>
      <c r="F575" s="15" t="s">
        <v>98</v>
      </c>
      <c r="G575" s="12" t="s">
        <v>32</v>
      </c>
      <c r="H575" s="12">
        <v>146.79</v>
      </c>
      <c r="I575" s="12">
        <v>224.13</v>
      </c>
      <c r="J575" s="12">
        <v>3623</v>
      </c>
      <c r="K575" s="12">
        <v>531820.17000000004</v>
      </c>
      <c r="L575" s="12">
        <v>812022.99</v>
      </c>
      <c r="M575" s="17">
        <v>280202.82</v>
      </c>
      <c r="N575" s="17">
        <v>52.69</v>
      </c>
      <c r="O575" s="16" t="s">
        <v>33</v>
      </c>
      <c r="P575" s="12">
        <v>0.1585</v>
      </c>
      <c r="Q575" s="12">
        <v>1.41</v>
      </c>
    </row>
    <row r="576" spans="1:17" x14ac:dyDescent="0.35">
      <c r="A576" s="18" t="s">
        <v>1051</v>
      </c>
      <c r="B576" s="18" t="s">
        <v>1052</v>
      </c>
      <c r="C576" s="19" t="s">
        <v>42</v>
      </c>
      <c r="D576" s="18" t="s">
        <v>43</v>
      </c>
      <c r="E576" s="20" t="s">
        <v>44</v>
      </c>
      <c r="F576" s="21" t="s">
        <v>23</v>
      </c>
      <c r="G576" s="18" t="s">
        <v>65</v>
      </c>
      <c r="H576" s="18">
        <v>524.35</v>
      </c>
      <c r="I576" s="18">
        <v>701.99</v>
      </c>
      <c r="J576" s="18">
        <v>2727</v>
      </c>
      <c r="K576" s="18">
        <v>1429902.45</v>
      </c>
      <c r="L576" s="18">
        <v>1914326.73</v>
      </c>
      <c r="M576" s="22">
        <v>484424.28</v>
      </c>
      <c r="N576" s="22">
        <v>33.880000000000003</v>
      </c>
      <c r="O576" s="23" t="s">
        <v>33</v>
      </c>
      <c r="P576" s="18">
        <v>0.45100000000000001</v>
      </c>
      <c r="Q576" s="18">
        <v>0.8</v>
      </c>
    </row>
    <row r="577" spans="1:17" x14ac:dyDescent="0.35">
      <c r="A577" s="12" t="s">
        <v>1053</v>
      </c>
      <c r="B577" s="12" t="s">
        <v>1026</v>
      </c>
      <c r="C577" s="13" t="s">
        <v>48</v>
      </c>
      <c r="D577" s="12" t="s">
        <v>49</v>
      </c>
      <c r="E577" s="14" t="s">
        <v>50</v>
      </c>
      <c r="F577" s="15" t="s">
        <v>62</v>
      </c>
      <c r="G577" s="12" t="s">
        <v>39</v>
      </c>
      <c r="H577" s="12">
        <v>63.84</v>
      </c>
      <c r="I577" s="12">
        <v>66.72</v>
      </c>
      <c r="J577" s="12">
        <v>1294</v>
      </c>
      <c r="K577" s="12">
        <v>82608.960000000006</v>
      </c>
      <c r="L577" s="12">
        <v>86335.679999999993</v>
      </c>
      <c r="M577" s="17">
        <v>3726.72</v>
      </c>
      <c r="N577" s="17">
        <v>4.51</v>
      </c>
      <c r="O577" s="17" t="s">
        <v>25</v>
      </c>
      <c r="P577" s="12">
        <v>0.22040000000000001</v>
      </c>
      <c r="Q577" s="12">
        <v>1.42</v>
      </c>
    </row>
    <row r="578" spans="1:17" x14ac:dyDescent="0.35">
      <c r="A578" s="18" t="s">
        <v>1054</v>
      </c>
      <c r="B578" s="18" t="s">
        <v>1055</v>
      </c>
      <c r="C578" s="19" t="s">
        <v>87</v>
      </c>
      <c r="D578" s="18" t="s">
        <v>88</v>
      </c>
      <c r="E578" s="20" t="s">
        <v>22</v>
      </c>
      <c r="F578" s="21" t="s">
        <v>31</v>
      </c>
      <c r="G578" s="18" t="s">
        <v>32</v>
      </c>
      <c r="H578" s="18">
        <v>397.14</v>
      </c>
      <c r="I578" s="18">
        <v>607.11</v>
      </c>
      <c r="J578" s="18">
        <v>2091</v>
      </c>
      <c r="K578" s="18">
        <v>830419.74</v>
      </c>
      <c r="L578" s="18">
        <v>1269467.01</v>
      </c>
      <c r="M578" s="22">
        <v>439047.27</v>
      </c>
      <c r="N578" s="22">
        <v>52.87</v>
      </c>
      <c r="O578" s="23" t="s">
        <v>33</v>
      </c>
      <c r="P578" s="18">
        <v>0.49359999999999998</v>
      </c>
      <c r="Q578" s="18">
        <v>1.58</v>
      </c>
    </row>
    <row r="579" spans="1:17" x14ac:dyDescent="0.35">
      <c r="A579" s="12" t="s">
        <v>1056</v>
      </c>
      <c r="B579" s="12" t="s">
        <v>1057</v>
      </c>
      <c r="C579" s="13" t="s">
        <v>178</v>
      </c>
      <c r="D579" s="12" t="s">
        <v>179</v>
      </c>
      <c r="E579" s="14" t="s">
        <v>22</v>
      </c>
      <c r="F579" s="15" t="s">
        <v>98</v>
      </c>
      <c r="G579" s="12" t="s">
        <v>32</v>
      </c>
      <c r="H579" s="12">
        <v>173.49</v>
      </c>
      <c r="I579" s="12">
        <v>192.98</v>
      </c>
      <c r="J579" s="12">
        <v>3786</v>
      </c>
      <c r="K579" s="12">
        <v>656833.14</v>
      </c>
      <c r="L579" s="12">
        <v>730622.28</v>
      </c>
      <c r="M579" s="17">
        <v>73789.14</v>
      </c>
      <c r="N579" s="17">
        <v>11.23</v>
      </c>
      <c r="O579" s="25" t="s">
        <v>45</v>
      </c>
      <c r="P579" s="12">
        <v>0.43819999999999998</v>
      </c>
      <c r="Q579" s="12">
        <v>0.85</v>
      </c>
    </row>
    <row r="580" spans="1:17" x14ac:dyDescent="0.35">
      <c r="A580" s="18" t="s">
        <v>1058</v>
      </c>
      <c r="B580" s="18" t="s">
        <v>1059</v>
      </c>
      <c r="C580" s="19" t="s">
        <v>36</v>
      </c>
      <c r="D580" s="18" t="s">
        <v>37</v>
      </c>
      <c r="E580" s="20" t="s">
        <v>30</v>
      </c>
      <c r="F580" s="21" t="s">
        <v>62</v>
      </c>
      <c r="G580" s="18" t="s">
        <v>24</v>
      </c>
      <c r="H580" s="18">
        <v>217.75</v>
      </c>
      <c r="I580" s="18">
        <v>342.87</v>
      </c>
      <c r="J580" s="18">
        <v>4056</v>
      </c>
      <c r="K580" s="18">
        <v>883194</v>
      </c>
      <c r="L580" s="18">
        <v>1390680.72</v>
      </c>
      <c r="M580" s="22">
        <v>507486.71999999997</v>
      </c>
      <c r="N580" s="22">
        <v>57.46</v>
      </c>
      <c r="O580" s="23" t="s">
        <v>33</v>
      </c>
      <c r="P580" s="18">
        <v>0.41889999999999999</v>
      </c>
      <c r="Q580" s="18">
        <v>1.4</v>
      </c>
    </row>
    <row r="581" spans="1:17" x14ac:dyDescent="0.35">
      <c r="A581" s="12" t="s">
        <v>1060</v>
      </c>
      <c r="B581" s="12" t="s">
        <v>946</v>
      </c>
      <c r="C581" s="13" t="s">
        <v>77</v>
      </c>
      <c r="D581" s="12" t="s">
        <v>78</v>
      </c>
      <c r="E581" s="14" t="s">
        <v>44</v>
      </c>
      <c r="F581" s="15" t="s">
        <v>98</v>
      </c>
      <c r="G581" s="12" t="s">
        <v>32</v>
      </c>
      <c r="H581" s="12">
        <v>143.22999999999999</v>
      </c>
      <c r="I581" s="12">
        <v>146.16</v>
      </c>
      <c r="J581" s="12">
        <v>1495</v>
      </c>
      <c r="K581" s="12">
        <v>214128.85</v>
      </c>
      <c r="L581" s="12">
        <v>218509.2</v>
      </c>
      <c r="M581" s="17">
        <v>4380.3500000000004</v>
      </c>
      <c r="N581" s="17">
        <v>2.0499999999999998</v>
      </c>
      <c r="O581" s="17" t="s">
        <v>25</v>
      </c>
      <c r="P581" s="12">
        <v>0.41949999999999998</v>
      </c>
      <c r="Q581" s="12">
        <v>0.93</v>
      </c>
    </row>
    <row r="582" spans="1:17" x14ac:dyDescent="0.35">
      <c r="A582" s="18" t="s">
        <v>1061</v>
      </c>
      <c r="B582" s="18" t="s">
        <v>331</v>
      </c>
      <c r="C582" s="19" t="s">
        <v>119</v>
      </c>
      <c r="D582" s="18" t="s">
        <v>120</v>
      </c>
      <c r="E582" s="20" t="s">
        <v>44</v>
      </c>
      <c r="F582" s="21" t="s">
        <v>31</v>
      </c>
      <c r="G582" s="18" t="s">
        <v>32</v>
      </c>
      <c r="H582" s="18">
        <v>50.31</v>
      </c>
      <c r="I582" s="18">
        <v>67.62</v>
      </c>
      <c r="J582" s="18">
        <v>3283</v>
      </c>
      <c r="K582" s="18">
        <v>165167.73000000001</v>
      </c>
      <c r="L582" s="18">
        <v>221996.46</v>
      </c>
      <c r="M582" s="22">
        <v>56828.73</v>
      </c>
      <c r="N582" s="22">
        <v>34.409999999999997</v>
      </c>
      <c r="O582" s="23" t="s">
        <v>33</v>
      </c>
      <c r="P582" s="18">
        <v>0.51249999999999996</v>
      </c>
      <c r="Q582" s="18">
        <v>1.03</v>
      </c>
    </row>
    <row r="583" spans="1:17" x14ac:dyDescent="0.35">
      <c r="A583" s="12" t="s">
        <v>1062</v>
      </c>
      <c r="B583" s="12" t="s">
        <v>808</v>
      </c>
      <c r="C583" s="13" t="s">
        <v>20</v>
      </c>
      <c r="D583" s="12" t="s">
        <v>21</v>
      </c>
      <c r="E583" s="14" t="s">
        <v>22</v>
      </c>
      <c r="F583" s="15" t="s">
        <v>38</v>
      </c>
      <c r="G583" s="12" t="s">
        <v>24</v>
      </c>
      <c r="H583" s="12">
        <v>686.36</v>
      </c>
      <c r="I583" s="12">
        <v>848.33</v>
      </c>
      <c r="J583" s="12">
        <v>1993</v>
      </c>
      <c r="K583" s="12">
        <v>1367915.48</v>
      </c>
      <c r="L583" s="12">
        <v>1690721.69</v>
      </c>
      <c r="M583" s="17">
        <v>322806.21000000002</v>
      </c>
      <c r="N583" s="17">
        <v>23.6</v>
      </c>
      <c r="O583" s="16" t="s">
        <v>33</v>
      </c>
      <c r="P583" s="12">
        <v>0.42520000000000002</v>
      </c>
      <c r="Q583" s="12">
        <v>1.68</v>
      </c>
    </row>
    <row r="584" spans="1:17" x14ac:dyDescent="0.35">
      <c r="A584" s="18" t="s">
        <v>1063</v>
      </c>
      <c r="B584" s="18" t="s">
        <v>620</v>
      </c>
      <c r="C584" s="19" t="s">
        <v>115</v>
      </c>
      <c r="D584" s="18" t="s">
        <v>116</v>
      </c>
      <c r="E584" s="20" t="s">
        <v>55</v>
      </c>
      <c r="F584" s="21" t="s">
        <v>23</v>
      </c>
      <c r="G584" s="18" t="s">
        <v>32</v>
      </c>
      <c r="H584" s="18">
        <v>780.15</v>
      </c>
      <c r="I584" s="18">
        <v>936.64</v>
      </c>
      <c r="J584" s="18">
        <v>1729</v>
      </c>
      <c r="K584" s="18">
        <v>1348879.35</v>
      </c>
      <c r="L584" s="18">
        <v>1619450.56</v>
      </c>
      <c r="M584" s="22">
        <v>270571.21000000002</v>
      </c>
      <c r="N584" s="22">
        <v>20.059999999999999</v>
      </c>
      <c r="O584" s="24" t="s">
        <v>45</v>
      </c>
      <c r="P584" s="18">
        <v>0.51829999999999998</v>
      </c>
      <c r="Q584" s="18">
        <v>0.63</v>
      </c>
    </row>
    <row r="585" spans="1:17" x14ac:dyDescent="0.35">
      <c r="A585" s="12" t="s">
        <v>1064</v>
      </c>
      <c r="B585" s="12" t="s">
        <v>1065</v>
      </c>
      <c r="C585" s="13" t="s">
        <v>150</v>
      </c>
      <c r="D585" s="12" t="s">
        <v>151</v>
      </c>
      <c r="E585" s="14" t="s">
        <v>55</v>
      </c>
      <c r="F585" s="15" t="s">
        <v>98</v>
      </c>
      <c r="G585" s="12" t="s">
        <v>24</v>
      </c>
      <c r="H585" s="12">
        <v>150.04</v>
      </c>
      <c r="I585" s="12">
        <v>148.53</v>
      </c>
      <c r="J585" s="12">
        <v>4113</v>
      </c>
      <c r="K585" s="12">
        <v>617114.52</v>
      </c>
      <c r="L585" s="12">
        <v>610903.89</v>
      </c>
      <c r="M585" s="16">
        <v>-6210.63</v>
      </c>
      <c r="N585" s="16">
        <v>-1.01</v>
      </c>
      <c r="O585" s="17" t="s">
        <v>25</v>
      </c>
      <c r="P585" s="12">
        <v>0.26910000000000001</v>
      </c>
      <c r="Q585" s="12">
        <v>1.02</v>
      </c>
    </row>
    <row r="586" spans="1:17" x14ac:dyDescent="0.35">
      <c r="A586" s="18" t="s">
        <v>1066</v>
      </c>
      <c r="B586" s="18" t="s">
        <v>1067</v>
      </c>
      <c r="C586" s="19" t="s">
        <v>137</v>
      </c>
      <c r="D586" s="18" t="s">
        <v>138</v>
      </c>
      <c r="E586" s="20" t="s">
        <v>50</v>
      </c>
      <c r="F586" s="21" t="s">
        <v>31</v>
      </c>
      <c r="G586" s="18" t="s">
        <v>24</v>
      </c>
      <c r="H586" s="18">
        <v>116.93</v>
      </c>
      <c r="I586" s="18">
        <v>175.78</v>
      </c>
      <c r="J586" s="18">
        <v>2210</v>
      </c>
      <c r="K586" s="18">
        <v>258415.3</v>
      </c>
      <c r="L586" s="18">
        <v>388473.8</v>
      </c>
      <c r="M586" s="22">
        <v>130058.5</v>
      </c>
      <c r="N586" s="22">
        <v>50.33</v>
      </c>
      <c r="O586" s="23" t="s">
        <v>33</v>
      </c>
      <c r="P586" s="18">
        <v>0.47039999999999998</v>
      </c>
      <c r="Q586" s="18">
        <v>0.64</v>
      </c>
    </row>
    <row r="587" spans="1:17" x14ac:dyDescent="0.35">
      <c r="A587" s="12" t="s">
        <v>1068</v>
      </c>
      <c r="B587" s="12" t="s">
        <v>1069</v>
      </c>
      <c r="C587" s="13" t="s">
        <v>36</v>
      </c>
      <c r="D587" s="12" t="s">
        <v>37</v>
      </c>
      <c r="E587" s="14" t="s">
        <v>30</v>
      </c>
      <c r="F587" s="15" t="s">
        <v>23</v>
      </c>
      <c r="G587" s="12" t="s">
        <v>39</v>
      </c>
      <c r="H587" s="12">
        <v>235.02</v>
      </c>
      <c r="I587" s="12">
        <v>216.73</v>
      </c>
      <c r="J587" s="12">
        <v>2899</v>
      </c>
      <c r="K587" s="12">
        <v>681322.98</v>
      </c>
      <c r="L587" s="12">
        <v>628300.27</v>
      </c>
      <c r="M587" s="16">
        <v>-53022.71</v>
      </c>
      <c r="N587" s="16">
        <v>-7.78</v>
      </c>
      <c r="O587" s="17" t="s">
        <v>25</v>
      </c>
      <c r="P587" s="12">
        <v>0.1578</v>
      </c>
      <c r="Q587" s="12">
        <v>1.06</v>
      </c>
    </row>
    <row r="588" spans="1:17" x14ac:dyDescent="0.35">
      <c r="A588" s="18" t="s">
        <v>1070</v>
      </c>
      <c r="B588" s="18" t="s">
        <v>1071</v>
      </c>
      <c r="C588" s="19" t="s">
        <v>53</v>
      </c>
      <c r="D588" s="18" t="s">
        <v>54</v>
      </c>
      <c r="E588" s="20" t="s">
        <v>55</v>
      </c>
      <c r="F588" s="21" t="s">
        <v>38</v>
      </c>
      <c r="G588" s="18" t="s">
        <v>39</v>
      </c>
      <c r="H588" s="18">
        <v>91.97</v>
      </c>
      <c r="I588" s="18">
        <v>75.06</v>
      </c>
      <c r="J588" s="18">
        <v>2069</v>
      </c>
      <c r="K588" s="18">
        <v>190285.93</v>
      </c>
      <c r="L588" s="18">
        <v>155299.14000000001</v>
      </c>
      <c r="M588" s="23">
        <v>-34986.79</v>
      </c>
      <c r="N588" s="23">
        <v>-18.39</v>
      </c>
      <c r="O588" s="24" t="s">
        <v>45</v>
      </c>
      <c r="P588" s="18">
        <v>0.25430000000000003</v>
      </c>
      <c r="Q588" s="18">
        <v>1.33</v>
      </c>
    </row>
    <row r="589" spans="1:17" x14ac:dyDescent="0.35">
      <c r="A589" s="12" t="s">
        <v>1072</v>
      </c>
      <c r="B589" s="12" t="s">
        <v>721</v>
      </c>
      <c r="C589" s="13" t="s">
        <v>119</v>
      </c>
      <c r="D589" s="12" t="s">
        <v>120</v>
      </c>
      <c r="E589" s="14" t="s">
        <v>44</v>
      </c>
      <c r="F589" s="15" t="s">
        <v>23</v>
      </c>
      <c r="G589" s="12" t="s">
        <v>32</v>
      </c>
      <c r="H589" s="12">
        <v>49.17</v>
      </c>
      <c r="I589" s="12">
        <v>66.81</v>
      </c>
      <c r="J589" s="12">
        <v>1235</v>
      </c>
      <c r="K589" s="12">
        <v>60724.95</v>
      </c>
      <c r="L589" s="12">
        <v>82510.350000000006</v>
      </c>
      <c r="M589" s="17">
        <v>21785.4</v>
      </c>
      <c r="N589" s="17">
        <v>35.880000000000003</v>
      </c>
      <c r="O589" s="16" t="s">
        <v>33</v>
      </c>
      <c r="P589" s="12">
        <v>0.20699999999999999</v>
      </c>
      <c r="Q589" s="12">
        <v>0.77</v>
      </c>
    </row>
    <row r="590" spans="1:17" x14ac:dyDescent="0.35">
      <c r="A590" s="18" t="s">
        <v>1073</v>
      </c>
      <c r="B590" s="18" t="s">
        <v>196</v>
      </c>
      <c r="C590" s="19" t="s">
        <v>72</v>
      </c>
      <c r="D590" s="18" t="s">
        <v>73</v>
      </c>
      <c r="E590" s="20" t="s">
        <v>74</v>
      </c>
      <c r="F590" s="21" t="s">
        <v>23</v>
      </c>
      <c r="G590" s="18" t="s">
        <v>32</v>
      </c>
      <c r="H590" s="18">
        <v>506.31</v>
      </c>
      <c r="I590" s="18">
        <v>558.08000000000004</v>
      </c>
      <c r="J590" s="18">
        <v>4727</v>
      </c>
      <c r="K590" s="18">
        <v>2393327.37</v>
      </c>
      <c r="L590" s="18">
        <v>2638044.1600000001</v>
      </c>
      <c r="M590" s="22">
        <v>244716.79</v>
      </c>
      <c r="N590" s="22">
        <v>10.220000000000001</v>
      </c>
      <c r="O590" s="24" t="s">
        <v>45</v>
      </c>
      <c r="P590" s="18">
        <v>0.35970000000000002</v>
      </c>
      <c r="Q590" s="18">
        <v>1.74</v>
      </c>
    </row>
    <row r="591" spans="1:17" x14ac:dyDescent="0.35">
      <c r="A591" s="12" t="s">
        <v>1074</v>
      </c>
      <c r="B591" s="12" t="s">
        <v>234</v>
      </c>
      <c r="C591" s="13" t="s">
        <v>20</v>
      </c>
      <c r="D591" s="12" t="s">
        <v>21</v>
      </c>
      <c r="E591" s="14" t="s">
        <v>22</v>
      </c>
      <c r="F591" s="15" t="s">
        <v>23</v>
      </c>
      <c r="G591" s="12" t="s">
        <v>65</v>
      </c>
      <c r="H591" s="12">
        <v>647.78</v>
      </c>
      <c r="I591" s="12">
        <v>969.14</v>
      </c>
      <c r="J591" s="12">
        <v>341</v>
      </c>
      <c r="K591" s="12">
        <v>220892.98</v>
      </c>
      <c r="L591" s="12">
        <v>330476.74</v>
      </c>
      <c r="M591" s="17">
        <v>109583.76</v>
      </c>
      <c r="N591" s="17">
        <v>49.61</v>
      </c>
      <c r="O591" s="16" t="s">
        <v>33</v>
      </c>
      <c r="P591" s="12">
        <v>0.29799999999999999</v>
      </c>
      <c r="Q591" s="12">
        <v>1.0900000000000001</v>
      </c>
    </row>
    <row r="592" spans="1:17" x14ac:dyDescent="0.35">
      <c r="A592" s="18" t="s">
        <v>1075</v>
      </c>
      <c r="B592" s="18" t="s">
        <v>185</v>
      </c>
      <c r="C592" s="19" t="s">
        <v>119</v>
      </c>
      <c r="D592" s="18" t="s">
        <v>120</v>
      </c>
      <c r="E592" s="20" t="s">
        <v>44</v>
      </c>
      <c r="F592" s="21" t="s">
        <v>23</v>
      </c>
      <c r="G592" s="18" t="s">
        <v>24</v>
      </c>
      <c r="H592" s="18">
        <v>42.34</v>
      </c>
      <c r="I592" s="18">
        <v>42.73</v>
      </c>
      <c r="J592" s="18">
        <v>1639</v>
      </c>
      <c r="K592" s="18">
        <v>69395.259999999995</v>
      </c>
      <c r="L592" s="18">
        <v>70034.47</v>
      </c>
      <c r="M592" s="22">
        <v>639.21</v>
      </c>
      <c r="N592" s="22">
        <v>0.92</v>
      </c>
      <c r="O592" s="22" t="s">
        <v>25</v>
      </c>
      <c r="P592" s="18">
        <v>0.44790000000000002</v>
      </c>
      <c r="Q592" s="18">
        <v>1.33</v>
      </c>
    </row>
    <row r="593" spans="1:17" x14ac:dyDescent="0.35">
      <c r="A593" s="12" t="s">
        <v>1076</v>
      </c>
      <c r="B593" s="12" t="s">
        <v>512</v>
      </c>
      <c r="C593" s="13" t="s">
        <v>83</v>
      </c>
      <c r="D593" s="12" t="s">
        <v>84</v>
      </c>
      <c r="E593" s="14" t="s">
        <v>55</v>
      </c>
      <c r="F593" s="15" t="s">
        <v>62</v>
      </c>
      <c r="G593" s="12" t="s">
        <v>39</v>
      </c>
      <c r="H593" s="12">
        <v>349.32</v>
      </c>
      <c r="I593" s="12">
        <v>220.77</v>
      </c>
      <c r="J593" s="12">
        <v>2002</v>
      </c>
      <c r="K593" s="12">
        <v>699338.64</v>
      </c>
      <c r="L593" s="12">
        <v>441981.54</v>
      </c>
      <c r="M593" s="16">
        <v>-257357.1</v>
      </c>
      <c r="N593" s="16">
        <v>-36.799999999999997</v>
      </c>
      <c r="O593" s="16" t="s">
        <v>33</v>
      </c>
      <c r="P593" s="12">
        <v>0.1542</v>
      </c>
      <c r="Q593" s="12">
        <v>1.54</v>
      </c>
    </row>
    <row r="594" spans="1:17" x14ac:dyDescent="0.35">
      <c r="A594" s="18" t="s">
        <v>1077</v>
      </c>
      <c r="B594" s="18" t="s">
        <v>682</v>
      </c>
      <c r="C594" s="19" t="s">
        <v>87</v>
      </c>
      <c r="D594" s="18" t="s">
        <v>88</v>
      </c>
      <c r="E594" s="20" t="s">
        <v>22</v>
      </c>
      <c r="F594" s="21" t="s">
        <v>98</v>
      </c>
      <c r="G594" s="18" t="s">
        <v>39</v>
      </c>
      <c r="H594" s="18">
        <v>386.97</v>
      </c>
      <c r="I594" s="18">
        <v>327.39999999999998</v>
      </c>
      <c r="J594" s="18">
        <v>1607</v>
      </c>
      <c r="K594" s="18">
        <v>621860.79</v>
      </c>
      <c r="L594" s="18">
        <v>526131.80000000005</v>
      </c>
      <c r="M594" s="23">
        <v>-95728.99</v>
      </c>
      <c r="N594" s="23">
        <v>-15.39</v>
      </c>
      <c r="O594" s="24" t="s">
        <v>45</v>
      </c>
      <c r="P594" s="18">
        <v>0.17910000000000001</v>
      </c>
      <c r="Q594" s="18">
        <v>0.83</v>
      </c>
    </row>
    <row r="595" spans="1:17" x14ac:dyDescent="0.35">
      <c r="A595" s="12" t="s">
        <v>1078</v>
      </c>
      <c r="B595" s="12" t="s">
        <v>1079</v>
      </c>
      <c r="C595" s="13" t="s">
        <v>103</v>
      </c>
      <c r="D595" s="12" t="s">
        <v>104</v>
      </c>
      <c r="E595" s="14" t="s">
        <v>22</v>
      </c>
      <c r="F595" s="15" t="s">
        <v>98</v>
      </c>
      <c r="G595" s="12" t="s">
        <v>32</v>
      </c>
      <c r="H595" s="12">
        <v>293.37</v>
      </c>
      <c r="I595" s="12">
        <v>396.03</v>
      </c>
      <c r="J595" s="12">
        <v>3483</v>
      </c>
      <c r="K595" s="12">
        <v>1021807.71</v>
      </c>
      <c r="L595" s="12">
        <v>1379372.49</v>
      </c>
      <c r="M595" s="17">
        <v>357564.78</v>
      </c>
      <c r="N595" s="17">
        <v>34.99</v>
      </c>
      <c r="O595" s="16" t="s">
        <v>33</v>
      </c>
      <c r="P595" s="12">
        <v>0.2072</v>
      </c>
      <c r="Q595" s="12">
        <v>0.85</v>
      </c>
    </row>
    <row r="596" spans="1:17" x14ac:dyDescent="0.35">
      <c r="A596" s="18" t="s">
        <v>1080</v>
      </c>
      <c r="B596" s="18" t="s">
        <v>634</v>
      </c>
      <c r="C596" s="19" t="s">
        <v>170</v>
      </c>
      <c r="D596" s="18" t="s">
        <v>171</v>
      </c>
      <c r="E596" s="20" t="s">
        <v>97</v>
      </c>
      <c r="F596" s="21" t="s">
        <v>98</v>
      </c>
      <c r="G596" s="18" t="s">
        <v>39</v>
      </c>
      <c r="H596" s="18">
        <v>161.86000000000001</v>
      </c>
      <c r="I596" s="18">
        <v>132.19</v>
      </c>
      <c r="J596" s="18">
        <v>3848</v>
      </c>
      <c r="K596" s="18">
        <v>622837.28</v>
      </c>
      <c r="L596" s="18">
        <v>508667.12</v>
      </c>
      <c r="M596" s="23">
        <v>-114170.16</v>
      </c>
      <c r="N596" s="23">
        <v>-18.329999999999998</v>
      </c>
      <c r="O596" s="24" t="s">
        <v>45</v>
      </c>
      <c r="P596" s="18">
        <v>0.45379999999999998</v>
      </c>
      <c r="Q596" s="18">
        <v>1.33</v>
      </c>
    </row>
    <row r="597" spans="1:17" x14ac:dyDescent="0.35">
      <c r="A597" s="12" t="s">
        <v>1081</v>
      </c>
      <c r="B597" s="12" t="s">
        <v>333</v>
      </c>
      <c r="C597" s="13" t="s">
        <v>77</v>
      </c>
      <c r="D597" s="12" t="s">
        <v>78</v>
      </c>
      <c r="E597" s="14" t="s">
        <v>44</v>
      </c>
      <c r="F597" s="15" t="s">
        <v>62</v>
      </c>
      <c r="G597" s="12" t="s">
        <v>32</v>
      </c>
      <c r="H597" s="12">
        <v>169.64</v>
      </c>
      <c r="I597" s="12">
        <v>211.65</v>
      </c>
      <c r="J597" s="12">
        <v>4785</v>
      </c>
      <c r="K597" s="12">
        <v>811727.4</v>
      </c>
      <c r="L597" s="12">
        <v>1012745.25</v>
      </c>
      <c r="M597" s="17">
        <v>201017.85</v>
      </c>
      <c r="N597" s="17">
        <v>24.76</v>
      </c>
      <c r="O597" s="16" t="s">
        <v>33</v>
      </c>
      <c r="P597" s="12">
        <v>0.49659999999999999</v>
      </c>
      <c r="Q597" s="12">
        <v>1.54</v>
      </c>
    </row>
    <row r="598" spans="1:17" x14ac:dyDescent="0.35">
      <c r="A598" s="18" t="s">
        <v>1082</v>
      </c>
      <c r="B598" s="18" t="s">
        <v>1083</v>
      </c>
      <c r="C598" s="19" t="s">
        <v>72</v>
      </c>
      <c r="D598" s="18" t="s">
        <v>73</v>
      </c>
      <c r="E598" s="20" t="s">
        <v>74</v>
      </c>
      <c r="F598" s="21" t="s">
        <v>38</v>
      </c>
      <c r="G598" s="18" t="s">
        <v>39</v>
      </c>
      <c r="H598" s="18">
        <v>501</v>
      </c>
      <c r="I598" s="18">
        <v>367.25</v>
      </c>
      <c r="J598" s="18">
        <v>447</v>
      </c>
      <c r="K598" s="18">
        <v>223947</v>
      </c>
      <c r="L598" s="18">
        <v>164160.75</v>
      </c>
      <c r="M598" s="23">
        <v>-59786.25</v>
      </c>
      <c r="N598" s="23">
        <v>-26.7</v>
      </c>
      <c r="O598" s="23" t="s">
        <v>33</v>
      </c>
      <c r="P598" s="18">
        <v>0.3513</v>
      </c>
      <c r="Q598" s="18">
        <v>1.78</v>
      </c>
    </row>
    <row r="599" spans="1:17" x14ac:dyDescent="0.35">
      <c r="A599" s="12" t="s">
        <v>1084</v>
      </c>
      <c r="B599" s="12" t="s">
        <v>1030</v>
      </c>
      <c r="C599" s="13" t="s">
        <v>103</v>
      </c>
      <c r="D599" s="12" t="s">
        <v>104</v>
      </c>
      <c r="E599" s="14" t="s">
        <v>22</v>
      </c>
      <c r="F599" s="15" t="s">
        <v>62</v>
      </c>
      <c r="G599" s="12" t="s">
        <v>32</v>
      </c>
      <c r="H599" s="12">
        <v>290.23</v>
      </c>
      <c r="I599" s="12">
        <v>344.7</v>
      </c>
      <c r="J599" s="12">
        <v>503</v>
      </c>
      <c r="K599" s="12">
        <v>145985.69</v>
      </c>
      <c r="L599" s="12">
        <v>173384.1</v>
      </c>
      <c r="M599" s="17">
        <v>27398.41</v>
      </c>
      <c r="N599" s="17">
        <v>18.77</v>
      </c>
      <c r="O599" s="25" t="s">
        <v>45</v>
      </c>
      <c r="P599" s="12">
        <v>0.50029999999999997</v>
      </c>
      <c r="Q599" s="12">
        <v>1.53</v>
      </c>
    </row>
    <row r="600" spans="1:17" x14ac:dyDescent="0.35">
      <c r="A600" s="18" t="s">
        <v>1085</v>
      </c>
      <c r="B600" s="18" t="s">
        <v>264</v>
      </c>
      <c r="C600" s="19" t="s">
        <v>137</v>
      </c>
      <c r="D600" s="18" t="s">
        <v>138</v>
      </c>
      <c r="E600" s="20" t="s">
        <v>50</v>
      </c>
      <c r="F600" s="21" t="s">
        <v>38</v>
      </c>
      <c r="G600" s="18" t="s">
        <v>32</v>
      </c>
      <c r="H600" s="18">
        <v>108.56</v>
      </c>
      <c r="I600" s="18">
        <v>99.68</v>
      </c>
      <c r="J600" s="18">
        <v>2511</v>
      </c>
      <c r="K600" s="18">
        <v>272594.15999999997</v>
      </c>
      <c r="L600" s="18">
        <v>250296.48</v>
      </c>
      <c r="M600" s="23">
        <v>-22297.68</v>
      </c>
      <c r="N600" s="23">
        <v>-8.18</v>
      </c>
      <c r="O600" s="24" t="s">
        <v>45</v>
      </c>
      <c r="P600" s="18">
        <v>0.34229999999999999</v>
      </c>
      <c r="Q600" s="18">
        <v>0.77</v>
      </c>
    </row>
    <row r="601" spans="1:17" x14ac:dyDescent="0.35">
      <c r="A601" s="12" t="s">
        <v>1086</v>
      </c>
      <c r="B601" s="12" t="s">
        <v>282</v>
      </c>
      <c r="C601" s="13" t="s">
        <v>119</v>
      </c>
      <c r="D601" s="12" t="s">
        <v>120</v>
      </c>
      <c r="E601" s="14" t="s">
        <v>44</v>
      </c>
      <c r="F601" s="15" t="s">
        <v>23</v>
      </c>
      <c r="G601" s="12" t="s">
        <v>32</v>
      </c>
      <c r="H601" s="12">
        <v>54.3</v>
      </c>
      <c r="I601" s="12">
        <v>74.239999999999995</v>
      </c>
      <c r="J601" s="12">
        <v>4895</v>
      </c>
      <c r="K601" s="12">
        <v>265798.5</v>
      </c>
      <c r="L601" s="12">
        <v>363404.79999999999</v>
      </c>
      <c r="M601" s="17">
        <v>97606.3</v>
      </c>
      <c r="N601" s="17">
        <v>36.72</v>
      </c>
      <c r="O601" s="16" t="s">
        <v>33</v>
      </c>
      <c r="P601" s="12">
        <v>0.1782</v>
      </c>
      <c r="Q601" s="12">
        <v>1.1000000000000001</v>
      </c>
    </row>
    <row r="602" spans="1:17" x14ac:dyDescent="0.35">
      <c r="A602" s="18" t="s">
        <v>1087</v>
      </c>
      <c r="B602" s="18" t="s">
        <v>19</v>
      </c>
      <c r="C602" s="19" t="s">
        <v>119</v>
      </c>
      <c r="D602" s="18" t="s">
        <v>120</v>
      </c>
      <c r="E602" s="20" t="s">
        <v>44</v>
      </c>
      <c r="F602" s="21" t="s">
        <v>38</v>
      </c>
      <c r="G602" s="18" t="s">
        <v>32</v>
      </c>
      <c r="H602" s="18">
        <v>53.71</v>
      </c>
      <c r="I602" s="18">
        <v>80.94</v>
      </c>
      <c r="J602" s="18">
        <v>4935</v>
      </c>
      <c r="K602" s="18">
        <v>265058.84999999998</v>
      </c>
      <c r="L602" s="18">
        <v>399438.9</v>
      </c>
      <c r="M602" s="22">
        <v>134380.04999999999</v>
      </c>
      <c r="N602" s="22">
        <v>50.7</v>
      </c>
      <c r="O602" s="23" t="s">
        <v>33</v>
      </c>
      <c r="P602" s="18">
        <v>0.4995</v>
      </c>
      <c r="Q602" s="18">
        <v>0.71</v>
      </c>
    </row>
    <row r="603" spans="1:17" x14ac:dyDescent="0.35">
      <c r="A603" s="12" t="s">
        <v>1088</v>
      </c>
      <c r="B603" s="12" t="s">
        <v>1089</v>
      </c>
      <c r="C603" s="13" t="s">
        <v>215</v>
      </c>
      <c r="D603" s="12" t="s">
        <v>216</v>
      </c>
      <c r="E603" s="14" t="s">
        <v>50</v>
      </c>
      <c r="F603" s="15" t="s">
        <v>31</v>
      </c>
      <c r="G603" s="12" t="s">
        <v>32</v>
      </c>
      <c r="H603" s="12">
        <v>141.47999999999999</v>
      </c>
      <c r="I603" s="12">
        <v>169.01</v>
      </c>
      <c r="J603" s="12">
        <v>847</v>
      </c>
      <c r="K603" s="12">
        <v>119833.56</v>
      </c>
      <c r="L603" s="12">
        <v>143151.47</v>
      </c>
      <c r="M603" s="17">
        <v>23317.91</v>
      </c>
      <c r="N603" s="17">
        <v>19.46</v>
      </c>
      <c r="O603" s="25" t="s">
        <v>45</v>
      </c>
      <c r="P603" s="12">
        <v>0.27610000000000001</v>
      </c>
      <c r="Q603" s="12">
        <v>1.23</v>
      </c>
    </row>
    <row r="604" spans="1:17" x14ac:dyDescent="0.35">
      <c r="A604" s="18" t="s">
        <v>1090</v>
      </c>
      <c r="B604" s="18" t="s">
        <v>815</v>
      </c>
      <c r="C604" s="19" t="s">
        <v>77</v>
      </c>
      <c r="D604" s="18" t="s">
        <v>78</v>
      </c>
      <c r="E604" s="20" t="s">
        <v>44</v>
      </c>
      <c r="F604" s="21" t="s">
        <v>38</v>
      </c>
      <c r="G604" s="18" t="s">
        <v>32</v>
      </c>
      <c r="H604" s="18">
        <v>159.09</v>
      </c>
      <c r="I604" s="18">
        <v>225.55</v>
      </c>
      <c r="J604" s="18">
        <v>4608</v>
      </c>
      <c r="K604" s="18">
        <v>733086.71999999997</v>
      </c>
      <c r="L604" s="18">
        <v>1039334.4</v>
      </c>
      <c r="M604" s="22">
        <v>306247.67999999999</v>
      </c>
      <c r="N604" s="22">
        <v>41.78</v>
      </c>
      <c r="O604" s="23" t="s">
        <v>33</v>
      </c>
      <c r="P604" s="18">
        <v>0.51229999999999998</v>
      </c>
      <c r="Q604" s="18">
        <v>1.28</v>
      </c>
    </row>
    <row r="605" spans="1:17" x14ac:dyDescent="0.35">
      <c r="A605" s="12" t="s">
        <v>1091</v>
      </c>
      <c r="B605" s="12" t="s">
        <v>1092</v>
      </c>
      <c r="C605" s="13" t="s">
        <v>87</v>
      </c>
      <c r="D605" s="12" t="s">
        <v>88</v>
      </c>
      <c r="E605" s="14" t="s">
        <v>22</v>
      </c>
      <c r="F605" s="15" t="s">
        <v>23</v>
      </c>
      <c r="G605" s="12" t="s">
        <v>32</v>
      </c>
      <c r="H605" s="12">
        <v>341.56</v>
      </c>
      <c r="I605" s="12">
        <v>374.58</v>
      </c>
      <c r="J605" s="12">
        <v>520</v>
      </c>
      <c r="K605" s="12">
        <v>177611.2</v>
      </c>
      <c r="L605" s="12">
        <v>194781.6</v>
      </c>
      <c r="M605" s="17">
        <v>17170.400000000001</v>
      </c>
      <c r="N605" s="17">
        <v>9.67</v>
      </c>
      <c r="O605" s="25" t="s">
        <v>45</v>
      </c>
      <c r="P605" s="12">
        <v>0.45050000000000001</v>
      </c>
      <c r="Q605" s="12">
        <v>1.1399999999999999</v>
      </c>
    </row>
    <row r="606" spans="1:17" x14ac:dyDescent="0.35">
      <c r="A606" s="18" t="s">
        <v>1093</v>
      </c>
      <c r="B606" s="18" t="s">
        <v>1094</v>
      </c>
      <c r="C606" s="19" t="s">
        <v>170</v>
      </c>
      <c r="D606" s="18" t="s">
        <v>171</v>
      </c>
      <c r="E606" s="20" t="s">
        <v>97</v>
      </c>
      <c r="F606" s="21" t="s">
        <v>23</v>
      </c>
      <c r="G606" s="18" t="s">
        <v>32</v>
      </c>
      <c r="H606" s="18">
        <v>150.33000000000001</v>
      </c>
      <c r="I606" s="18">
        <v>158.93</v>
      </c>
      <c r="J606" s="18">
        <v>128</v>
      </c>
      <c r="K606" s="18">
        <v>19242.240000000002</v>
      </c>
      <c r="L606" s="18">
        <v>20343.04</v>
      </c>
      <c r="M606" s="22">
        <v>1100.8</v>
      </c>
      <c r="N606" s="22">
        <v>5.72</v>
      </c>
      <c r="O606" s="22" t="s">
        <v>25</v>
      </c>
      <c r="P606" s="18">
        <v>0.31719999999999998</v>
      </c>
      <c r="Q606" s="18">
        <v>1.63</v>
      </c>
    </row>
    <row r="607" spans="1:17" x14ac:dyDescent="0.35">
      <c r="A607" s="12" t="s">
        <v>1095</v>
      </c>
      <c r="B607" s="12" t="s">
        <v>892</v>
      </c>
      <c r="C607" s="13" t="s">
        <v>36</v>
      </c>
      <c r="D607" s="12" t="s">
        <v>37</v>
      </c>
      <c r="E607" s="14" t="s">
        <v>30</v>
      </c>
      <c r="F607" s="15" t="s">
        <v>23</v>
      </c>
      <c r="G607" s="12" t="s">
        <v>39</v>
      </c>
      <c r="H607" s="12">
        <v>215.6</v>
      </c>
      <c r="I607" s="12">
        <v>180.85</v>
      </c>
      <c r="J607" s="12">
        <v>1876</v>
      </c>
      <c r="K607" s="12">
        <v>404465.6</v>
      </c>
      <c r="L607" s="12">
        <v>339274.6</v>
      </c>
      <c r="M607" s="16">
        <v>-65191</v>
      </c>
      <c r="N607" s="16">
        <v>-16.12</v>
      </c>
      <c r="O607" s="25" t="s">
        <v>45</v>
      </c>
      <c r="P607" s="12">
        <v>0.2964</v>
      </c>
      <c r="Q607" s="12">
        <v>0.7</v>
      </c>
    </row>
    <row r="608" spans="1:17" x14ac:dyDescent="0.35">
      <c r="A608" s="18" t="s">
        <v>1096</v>
      </c>
      <c r="B608" s="18" t="s">
        <v>344</v>
      </c>
      <c r="C608" s="19" t="s">
        <v>53</v>
      </c>
      <c r="D608" s="18" t="s">
        <v>54</v>
      </c>
      <c r="E608" s="20" t="s">
        <v>55</v>
      </c>
      <c r="F608" s="21" t="s">
        <v>62</v>
      </c>
      <c r="G608" s="18" t="s">
        <v>39</v>
      </c>
      <c r="H608" s="18">
        <v>93.23</v>
      </c>
      <c r="I608" s="18">
        <v>81.709999999999994</v>
      </c>
      <c r="J608" s="18">
        <v>2378</v>
      </c>
      <c r="K608" s="18">
        <v>221700.94</v>
      </c>
      <c r="L608" s="18">
        <v>194306.38</v>
      </c>
      <c r="M608" s="23">
        <v>-27394.560000000001</v>
      </c>
      <c r="N608" s="23">
        <v>-12.36</v>
      </c>
      <c r="O608" s="24" t="s">
        <v>45</v>
      </c>
      <c r="P608" s="18">
        <v>0.47489999999999999</v>
      </c>
      <c r="Q608" s="18">
        <v>0.66</v>
      </c>
    </row>
    <row r="609" spans="1:17" x14ac:dyDescent="0.35">
      <c r="A609" s="12" t="s">
        <v>1097</v>
      </c>
      <c r="B609" s="12" t="s">
        <v>1098</v>
      </c>
      <c r="C609" s="13" t="s">
        <v>87</v>
      </c>
      <c r="D609" s="12" t="s">
        <v>88</v>
      </c>
      <c r="E609" s="14" t="s">
        <v>22</v>
      </c>
      <c r="F609" s="15" t="s">
        <v>31</v>
      </c>
      <c r="G609" s="12" t="s">
        <v>65</v>
      </c>
      <c r="H609" s="12">
        <v>387.15</v>
      </c>
      <c r="I609" s="12">
        <v>521.45000000000005</v>
      </c>
      <c r="J609" s="12">
        <v>1290</v>
      </c>
      <c r="K609" s="12">
        <v>499423.5</v>
      </c>
      <c r="L609" s="12">
        <v>672670.5</v>
      </c>
      <c r="M609" s="17">
        <v>173247</v>
      </c>
      <c r="N609" s="17">
        <v>34.69</v>
      </c>
      <c r="O609" s="16" t="s">
        <v>33</v>
      </c>
      <c r="P609" s="12">
        <v>0.4803</v>
      </c>
      <c r="Q609" s="12">
        <v>0.96</v>
      </c>
    </row>
    <row r="610" spans="1:17" x14ac:dyDescent="0.35">
      <c r="A610" s="18" t="s">
        <v>1099</v>
      </c>
      <c r="B610" s="18" t="s">
        <v>1046</v>
      </c>
      <c r="C610" s="19" t="s">
        <v>60</v>
      </c>
      <c r="D610" s="18" t="s">
        <v>61</v>
      </c>
      <c r="E610" s="20" t="s">
        <v>22</v>
      </c>
      <c r="F610" s="21" t="s">
        <v>38</v>
      </c>
      <c r="G610" s="18" t="s">
        <v>32</v>
      </c>
      <c r="H610" s="18">
        <v>125.78</v>
      </c>
      <c r="I610" s="18">
        <v>135.72</v>
      </c>
      <c r="J610" s="18">
        <v>1560</v>
      </c>
      <c r="K610" s="18">
        <v>196216.8</v>
      </c>
      <c r="L610" s="18">
        <v>211723.2</v>
      </c>
      <c r="M610" s="22">
        <v>15506.4</v>
      </c>
      <c r="N610" s="22">
        <v>7.9</v>
      </c>
      <c r="O610" s="22" t="s">
        <v>25</v>
      </c>
      <c r="P610" s="18">
        <v>0.4042</v>
      </c>
      <c r="Q610" s="18">
        <v>1.44</v>
      </c>
    </row>
    <row r="611" spans="1:17" x14ac:dyDescent="0.35">
      <c r="A611" s="12" t="s">
        <v>1100</v>
      </c>
      <c r="B611" s="12" t="s">
        <v>1101</v>
      </c>
      <c r="C611" s="13" t="s">
        <v>28</v>
      </c>
      <c r="D611" s="12" t="s">
        <v>29</v>
      </c>
      <c r="E611" s="14" t="s">
        <v>30</v>
      </c>
      <c r="F611" s="15" t="s">
        <v>38</v>
      </c>
      <c r="G611" s="12" t="s">
        <v>32</v>
      </c>
      <c r="H611" s="12">
        <v>229.93</v>
      </c>
      <c r="I611" s="12">
        <v>208.11</v>
      </c>
      <c r="J611" s="12">
        <v>4842</v>
      </c>
      <c r="K611" s="12">
        <v>1113321.06</v>
      </c>
      <c r="L611" s="12">
        <v>1007668.62</v>
      </c>
      <c r="M611" s="16">
        <v>-105652.44</v>
      </c>
      <c r="N611" s="16">
        <v>-9.49</v>
      </c>
      <c r="O611" s="25" t="s">
        <v>45</v>
      </c>
      <c r="P611" s="12">
        <v>0.45050000000000001</v>
      </c>
      <c r="Q611" s="12">
        <v>0.99</v>
      </c>
    </row>
    <row r="612" spans="1:17" x14ac:dyDescent="0.35">
      <c r="A612" s="18" t="s">
        <v>1102</v>
      </c>
      <c r="B612" s="18" t="s">
        <v>409</v>
      </c>
      <c r="C612" s="19" t="s">
        <v>77</v>
      </c>
      <c r="D612" s="18" t="s">
        <v>78</v>
      </c>
      <c r="E612" s="20" t="s">
        <v>44</v>
      </c>
      <c r="F612" s="21" t="s">
        <v>62</v>
      </c>
      <c r="G612" s="18" t="s">
        <v>32</v>
      </c>
      <c r="H612" s="18">
        <v>154.75</v>
      </c>
      <c r="I612" s="18">
        <v>150.75</v>
      </c>
      <c r="J612" s="18">
        <v>631</v>
      </c>
      <c r="K612" s="18">
        <v>97647.25</v>
      </c>
      <c r="L612" s="18">
        <v>95123.25</v>
      </c>
      <c r="M612" s="23">
        <v>-2524</v>
      </c>
      <c r="N612" s="23">
        <v>-2.58</v>
      </c>
      <c r="O612" s="22" t="s">
        <v>25</v>
      </c>
      <c r="P612" s="18">
        <v>0.41870000000000002</v>
      </c>
      <c r="Q612" s="18">
        <v>0.93</v>
      </c>
    </row>
    <row r="613" spans="1:17" x14ac:dyDescent="0.35">
      <c r="A613" s="12" t="s">
        <v>1103</v>
      </c>
      <c r="B613" s="12" t="s">
        <v>976</v>
      </c>
      <c r="C613" s="13" t="s">
        <v>72</v>
      </c>
      <c r="D613" s="12" t="s">
        <v>73</v>
      </c>
      <c r="E613" s="14" t="s">
        <v>74</v>
      </c>
      <c r="F613" s="15" t="s">
        <v>23</v>
      </c>
      <c r="G613" s="12" t="s">
        <v>39</v>
      </c>
      <c r="H613" s="12">
        <v>397.26</v>
      </c>
      <c r="I613" s="12">
        <v>379.65</v>
      </c>
      <c r="J613" s="12">
        <v>576</v>
      </c>
      <c r="K613" s="12">
        <v>228821.76000000001</v>
      </c>
      <c r="L613" s="12">
        <v>218678.39999999999</v>
      </c>
      <c r="M613" s="16">
        <v>-10143.36</v>
      </c>
      <c r="N613" s="16">
        <v>-4.43</v>
      </c>
      <c r="O613" s="17" t="s">
        <v>25</v>
      </c>
      <c r="P613" s="12">
        <v>0.39050000000000001</v>
      </c>
      <c r="Q613" s="12">
        <v>1.78</v>
      </c>
    </row>
    <row r="614" spans="1:17" x14ac:dyDescent="0.35">
      <c r="A614" s="18" t="s">
        <v>1104</v>
      </c>
      <c r="B614" s="18" t="s">
        <v>1105</v>
      </c>
      <c r="C614" s="19" t="s">
        <v>115</v>
      </c>
      <c r="D614" s="18" t="s">
        <v>116</v>
      </c>
      <c r="E614" s="20" t="s">
        <v>55</v>
      </c>
      <c r="F614" s="21" t="s">
        <v>38</v>
      </c>
      <c r="G614" s="18" t="s">
        <v>24</v>
      </c>
      <c r="H614" s="18">
        <v>723.76</v>
      </c>
      <c r="I614" s="18">
        <v>928.29</v>
      </c>
      <c r="J614" s="18">
        <v>2692</v>
      </c>
      <c r="K614" s="18">
        <v>1948361.92</v>
      </c>
      <c r="L614" s="18">
        <v>2498956.6800000002</v>
      </c>
      <c r="M614" s="22">
        <v>550594.76</v>
      </c>
      <c r="N614" s="22">
        <v>28.26</v>
      </c>
      <c r="O614" s="23" t="s">
        <v>33</v>
      </c>
      <c r="P614" s="18">
        <v>0.38800000000000001</v>
      </c>
      <c r="Q614" s="18">
        <v>1.71</v>
      </c>
    </row>
    <row r="615" spans="1:17" x14ac:dyDescent="0.35">
      <c r="A615" s="12" t="s">
        <v>1106</v>
      </c>
      <c r="B615" s="12" t="s">
        <v>1107</v>
      </c>
      <c r="C615" s="13" t="s">
        <v>53</v>
      </c>
      <c r="D615" s="12" t="s">
        <v>54</v>
      </c>
      <c r="E615" s="14" t="s">
        <v>55</v>
      </c>
      <c r="F615" s="15" t="s">
        <v>62</v>
      </c>
      <c r="G615" s="12" t="s">
        <v>39</v>
      </c>
      <c r="H615" s="12">
        <v>89.8</v>
      </c>
      <c r="I615" s="12">
        <v>63.11</v>
      </c>
      <c r="J615" s="12">
        <v>4177</v>
      </c>
      <c r="K615" s="12">
        <v>375094.6</v>
      </c>
      <c r="L615" s="12">
        <v>263610.46999999997</v>
      </c>
      <c r="M615" s="16">
        <v>-111484.13</v>
      </c>
      <c r="N615" s="16">
        <v>-29.72</v>
      </c>
      <c r="O615" s="16" t="s">
        <v>33</v>
      </c>
      <c r="P615" s="12">
        <v>0.38200000000000001</v>
      </c>
      <c r="Q615" s="12">
        <v>1.45</v>
      </c>
    </row>
    <row r="616" spans="1:17" x14ac:dyDescent="0.35">
      <c r="A616" s="18" t="s">
        <v>1108</v>
      </c>
      <c r="B616" s="18" t="s">
        <v>1109</v>
      </c>
      <c r="C616" s="19" t="s">
        <v>95</v>
      </c>
      <c r="D616" s="18" t="s">
        <v>96</v>
      </c>
      <c r="E616" s="20" t="s">
        <v>97</v>
      </c>
      <c r="F616" s="21" t="s">
        <v>31</v>
      </c>
      <c r="G616" s="18" t="s">
        <v>32</v>
      </c>
      <c r="H616" s="18">
        <v>228.28</v>
      </c>
      <c r="I616" s="18">
        <v>219.73</v>
      </c>
      <c r="J616" s="18">
        <v>3908</v>
      </c>
      <c r="K616" s="18">
        <v>892118.24</v>
      </c>
      <c r="L616" s="18">
        <v>858704.84</v>
      </c>
      <c r="M616" s="23">
        <v>-33413.4</v>
      </c>
      <c r="N616" s="23">
        <v>-3.75</v>
      </c>
      <c r="O616" s="22" t="s">
        <v>25</v>
      </c>
      <c r="P616" s="18">
        <v>0.48470000000000002</v>
      </c>
      <c r="Q616" s="18">
        <v>1.56</v>
      </c>
    </row>
    <row r="617" spans="1:17" x14ac:dyDescent="0.35">
      <c r="A617" s="12" t="s">
        <v>1110</v>
      </c>
      <c r="B617" s="12" t="s">
        <v>976</v>
      </c>
      <c r="C617" s="13" t="s">
        <v>42</v>
      </c>
      <c r="D617" s="12" t="s">
        <v>43</v>
      </c>
      <c r="E617" s="14" t="s">
        <v>44</v>
      </c>
      <c r="F617" s="15" t="s">
        <v>98</v>
      </c>
      <c r="G617" s="12" t="s">
        <v>32</v>
      </c>
      <c r="H617" s="12">
        <v>559.97</v>
      </c>
      <c r="I617" s="12">
        <v>742.66</v>
      </c>
      <c r="J617" s="12">
        <v>2964</v>
      </c>
      <c r="K617" s="12">
        <v>1659751.08</v>
      </c>
      <c r="L617" s="12">
        <v>2201244.2400000002</v>
      </c>
      <c r="M617" s="17">
        <v>541493.16</v>
      </c>
      <c r="N617" s="17">
        <v>32.619999999999997</v>
      </c>
      <c r="O617" s="16" t="s">
        <v>33</v>
      </c>
      <c r="P617" s="12">
        <v>0.1249</v>
      </c>
      <c r="Q617" s="12">
        <v>0.84</v>
      </c>
    </row>
    <row r="618" spans="1:17" x14ac:dyDescent="0.35">
      <c r="A618" s="18" t="s">
        <v>1111</v>
      </c>
      <c r="B618" s="18" t="s">
        <v>968</v>
      </c>
      <c r="C618" s="19" t="s">
        <v>137</v>
      </c>
      <c r="D618" s="18" t="s">
        <v>138</v>
      </c>
      <c r="E618" s="20" t="s">
        <v>50</v>
      </c>
      <c r="F618" s="21" t="s">
        <v>98</v>
      </c>
      <c r="G618" s="18" t="s">
        <v>32</v>
      </c>
      <c r="H618" s="18">
        <v>105.21</v>
      </c>
      <c r="I618" s="18">
        <v>116.44</v>
      </c>
      <c r="J618" s="18">
        <v>2559</v>
      </c>
      <c r="K618" s="18">
        <v>269232.39</v>
      </c>
      <c r="L618" s="18">
        <v>297969.96000000002</v>
      </c>
      <c r="M618" s="22">
        <v>28737.57</v>
      </c>
      <c r="N618" s="22">
        <v>10.67</v>
      </c>
      <c r="O618" s="24" t="s">
        <v>45</v>
      </c>
      <c r="P618" s="18">
        <v>0.1226</v>
      </c>
      <c r="Q618" s="18">
        <v>1.42</v>
      </c>
    </row>
    <row r="619" spans="1:17" x14ac:dyDescent="0.35">
      <c r="A619" s="12" t="s">
        <v>1112</v>
      </c>
      <c r="B619" s="12" t="s">
        <v>766</v>
      </c>
      <c r="C619" s="13" t="s">
        <v>215</v>
      </c>
      <c r="D619" s="12" t="s">
        <v>216</v>
      </c>
      <c r="E619" s="14" t="s">
        <v>50</v>
      </c>
      <c r="F619" s="15" t="s">
        <v>23</v>
      </c>
      <c r="G619" s="12" t="s">
        <v>32</v>
      </c>
      <c r="H619" s="12">
        <v>151.86000000000001</v>
      </c>
      <c r="I619" s="12">
        <v>169.56</v>
      </c>
      <c r="J619" s="12">
        <v>1689</v>
      </c>
      <c r="K619" s="12">
        <v>256491.54</v>
      </c>
      <c r="L619" s="12">
        <v>286386.84000000003</v>
      </c>
      <c r="M619" s="17">
        <v>29895.3</v>
      </c>
      <c r="N619" s="17">
        <v>11.66</v>
      </c>
      <c r="O619" s="25" t="s">
        <v>45</v>
      </c>
      <c r="P619" s="12">
        <v>0.40920000000000001</v>
      </c>
      <c r="Q619" s="12">
        <v>1.7</v>
      </c>
    </row>
    <row r="620" spans="1:17" x14ac:dyDescent="0.35">
      <c r="A620" s="18" t="s">
        <v>1113</v>
      </c>
      <c r="B620" s="18" t="s">
        <v>222</v>
      </c>
      <c r="C620" s="19" t="s">
        <v>103</v>
      </c>
      <c r="D620" s="18" t="s">
        <v>104</v>
      </c>
      <c r="E620" s="20" t="s">
        <v>22</v>
      </c>
      <c r="F620" s="21" t="s">
        <v>38</v>
      </c>
      <c r="G620" s="18" t="s">
        <v>32</v>
      </c>
      <c r="H620" s="18">
        <v>332.21</v>
      </c>
      <c r="I620" s="18">
        <v>499.79</v>
      </c>
      <c r="J620" s="18">
        <v>1372</v>
      </c>
      <c r="K620" s="18">
        <v>455792.12</v>
      </c>
      <c r="L620" s="18">
        <v>685711.88</v>
      </c>
      <c r="M620" s="22">
        <v>229919.76</v>
      </c>
      <c r="N620" s="22">
        <v>50.44</v>
      </c>
      <c r="O620" s="23" t="s">
        <v>33</v>
      </c>
      <c r="P620" s="18">
        <v>0.35089999999999999</v>
      </c>
      <c r="Q620" s="18">
        <v>1</v>
      </c>
    </row>
    <row r="621" spans="1:17" x14ac:dyDescent="0.35">
      <c r="A621" s="12" t="s">
        <v>1114</v>
      </c>
      <c r="B621" s="12" t="s">
        <v>1115</v>
      </c>
      <c r="C621" s="13" t="s">
        <v>42</v>
      </c>
      <c r="D621" s="12" t="s">
        <v>43</v>
      </c>
      <c r="E621" s="14" t="s">
        <v>44</v>
      </c>
      <c r="F621" s="15" t="s">
        <v>62</v>
      </c>
      <c r="G621" s="12" t="s">
        <v>24</v>
      </c>
      <c r="H621" s="12">
        <v>559.1</v>
      </c>
      <c r="I621" s="12">
        <v>499.33</v>
      </c>
      <c r="J621" s="12">
        <v>2684</v>
      </c>
      <c r="K621" s="12">
        <v>1500624.4</v>
      </c>
      <c r="L621" s="12">
        <v>1340201.72</v>
      </c>
      <c r="M621" s="16">
        <v>-160422.68</v>
      </c>
      <c r="N621" s="16">
        <v>-10.69</v>
      </c>
      <c r="O621" s="25" t="s">
        <v>45</v>
      </c>
      <c r="P621" s="12">
        <v>0.36830000000000002</v>
      </c>
      <c r="Q621" s="12">
        <v>1</v>
      </c>
    </row>
    <row r="622" spans="1:17" x14ac:dyDescent="0.35">
      <c r="A622" s="18" t="s">
        <v>1116</v>
      </c>
      <c r="B622" s="18" t="s">
        <v>381</v>
      </c>
      <c r="C622" s="19" t="s">
        <v>48</v>
      </c>
      <c r="D622" s="18" t="s">
        <v>49</v>
      </c>
      <c r="E622" s="20" t="s">
        <v>50</v>
      </c>
      <c r="F622" s="21" t="s">
        <v>98</v>
      </c>
      <c r="G622" s="18" t="s">
        <v>32</v>
      </c>
      <c r="H622" s="18">
        <v>61.86</v>
      </c>
      <c r="I622" s="18">
        <v>70.69</v>
      </c>
      <c r="J622" s="18">
        <v>355</v>
      </c>
      <c r="K622" s="18">
        <v>21960.3</v>
      </c>
      <c r="L622" s="18">
        <v>25094.95</v>
      </c>
      <c r="M622" s="22">
        <v>3134.65</v>
      </c>
      <c r="N622" s="22">
        <v>14.27</v>
      </c>
      <c r="O622" s="24" t="s">
        <v>45</v>
      </c>
      <c r="P622" s="18">
        <v>0.34970000000000001</v>
      </c>
      <c r="Q622" s="18">
        <v>0.8</v>
      </c>
    </row>
    <row r="623" spans="1:17" x14ac:dyDescent="0.35">
      <c r="A623" s="12" t="s">
        <v>1117</v>
      </c>
      <c r="B623" s="12" t="s">
        <v>1118</v>
      </c>
      <c r="C623" s="13" t="s">
        <v>53</v>
      </c>
      <c r="D623" s="12" t="s">
        <v>54</v>
      </c>
      <c r="E623" s="14" t="s">
        <v>55</v>
      </c>
      <c r="F623" s="15" t="s">
        <v>62</v>
      </c>
      <c r="G623" s="12" t="s">
        <v>32</v>
      </c>
      <c r="H623" s="12">
        <v>99.84</v>
      </c>
      <c r="I623" s="12">
        <v>140.38</v>
      </c>
      <c r="J623" s="12">
        <v>1057</v>
      </c>
      <c r="K623" s="12">
        <v>105530.88</v>
      </c>
      <c r="L623" s="12">
        <v>148381.66</v>
      </c>
      <c r="M623" s="17">
        <v>42850.78</v>
      </c>
      <c r="N623" s="17">
        <v>40.6</v>
      </c>
      <c r="O623" s="16" t="s">
        <v>33</v>
      </c>
      <c r="P623" s="12">
        <v>0.42330000000000001</v>
      </c>
      <c r="Q623" s="12">
        <v>0.98</v>
      </c>
    </row>
    <row r="624" spans="1:17" x14ac:dyDescent="0.35">
      <c r="A624" s="18" t="s">
        <v>1119</v>
      </c>
      <c r="B624" s="18" t="s">
        <v>1120</v>
      </c>
      <c r="C624" s="19" t="s">
        <v>103</v>
      </c>
      <c r="D624" s="18" t="s">
        <v>104</v>
      </c>
      <c r="E624" s="20" t="s">
        <v>22</v>
      </c>
      <c r="F624" s="21" t="s">
        <v>31</v>
      </c>
      <c r="G624" s="18" t="s">
        <v>32</v>
      </c>
      <c r="H624" s="18">
        <v>356.2</v>
      </c>
      <c r="I624" s="18">
        <v>406.11</v>
      </c>
      <c r="J624" s="18">
        <v>4171</v>
      </c>
      <c r="K624" s="18">
        <v>1485710.2</v>
      </c>
      <c r="L624" s="18">
        <v>1693884.81</v>
      </c>
      <c r="M624" s="22">
        <v>208174.61</v>
      </c>
      <c r="N624" s="22">
        <v>14.01</v>
      </c>
      <c r="O624" s="24" t="s">
        <v>45</v>
      </c>
      <c r="P624" s="18">
        <v>0.47670000000000001</v>
      </c>
      <c r="Q624" s="18">
        <v>0.96</v>
      </c>
    </row>
    <row r="625" spans="1:17" x14ac:dyDescent="0.35">
      <c r="A625" s="12" t="s">
        <v>1121</v>
      </c>
      <c r="B625" s="12" t="s">
        <v>292</v>
      </c>
      <c r="C625" s="13" t="s">
        <v>72</v>
      </c>
      <c r="D625" s="12" t="s">
        <v>73</v>
      </c>
      <c r="E625" s="14" t="s">
        <v>74</v>
      </c>
      <c r="F625" s="15" t="s">
        <v>31</v>
      </c>
      <c r="G625" s="12" t="s">
        <v>32</v>
      </c>
      <c r="H625" s="12">
        <v>488.47</v>
      </c>
      <c r="I625" s="12">
        <v>695.8</v>
      </c>
      <c r="J625" s="12">
        <v>3165</v>
      </c>
      <c r="K625" s="12">
        <v>1546007.55</v>
      </c>
      <c r="L625" s="12">
        <v>2202207</v>
      </c>
      <c r="M625" s="17">
        <v>656199.44999999995</v>
      </c>
      <c r="N625" s="17">
        <v>42.44</v>
      </c>
      <c r="O625" s="16" t="s">
        <v>33</v>
      </c>
      <c r="P625" s="12">
        <v>0.51270000000000004</v>
      </c>
      <c r="Q625" s="12">
        <v>1.1299999999999999</v>
      </c>
    </row>
    <row r="626" spans="1:17" x14ac:dyDescent="0.35">
      <c r="A626" s="18" t="s">
        <v>1122</v>
      </c>
      <c r="B626" s="18" t="s">
        <v>830</v>
      </c>
      <c r="C626" s="19" t="s">
        <v>178</v>
      </c>
      <c r="D626" s="18" t="s">
        <v>179</v>
      </c>
      <c r="E626" s="20" t="s">
        <v>22</v>
      </c>
      <c r="F626" s="21" t="s">
        <v>23</v>
      </c>
      <c r="G626" s="18" t="s">
        <v>32</v>
      </c>
      <c r="H626" s="18">
        <v>197.24</v>
      </c>
      <c r="I626" s="18">
        <v>274.7</v>
      </c>
      <c r="J626" s="18">
        <v>2886</v>
      </c>
      <c r="K626" s="18">
        <v>569234.64</v>
      </c>
      <c r="L626" s="18">
        <v>792784.2</v>
      </c>
      <c r="M626" s="22">
        <v>223549.56</v>
      </c>
      <c r="N626" s="22">
        <v>39.270000000000003</v>
      </c>
      <c r="O626" s="23" t="s">
        <v>33</v>
      </c>
      <c r="P626" s="18">
        <v>0.34520000000000001</v>
      </c>
      <c r="Q626" s="18">
        <v>1.53</v>
      </c>
    </row>
    <row r="627" spans="1:17" x14ac:dyDescent="0.35">
      <c r="A627" s="12" t="s">
        <v>1123</v>
      </c>
      <c r="B627" s="12" t="s">
        <v>112</v>
      </c>
      <c r="C627" s="13" t="s">
        <v>87</v>
      </c>
      <c r="D627" s="12" t="s">
        <v>88</v>
      </c>
      <c r="E627" s="14" t="s">
        <v>22</v>
      </c>
      <c r="F627" s="15" t="s">
        <v>23</v>
      </c>
      <c r="G627" s="12" t="s">
        <v>32</v>
      </c>
      <c r="H627" s="12">
        <v>345.73</v>
      </c>
      <c r="I627" s="12">
        <v>476.96</v>
      </c>
      <c r="J627" s="12">
        <v>399</v>
      </c>
      <c r="K627" s="12">
        <v>137946.26999999999</v>
      </c>
      <c r="L627" s="12">
        <v>190307.04</v>
      </c>
      <c r="M627" s="17">
        <v>52360.77</v>
      </c>
      <c r="N627" s="17">
        <v>37.96</v>
      </c>
      <c r="O627" s="16" t="s">
        <v>33</v>
      </c>
      <c r="P627" s="12">
        <v>0.34460000000000002</v>
      </c>
      <c r="Q627" s="12">
        <v>0.6</v>
      </c>
    </row>
    <row r="628" spans="1:17" x14ac:dyDescent="0.35">
      <c r="A628" s="18" t="s">
        <v>1124</v>
      </c>
      <c r="B628" s="18" t="s">
        <v>755</v>
      </c>
      <c r="C628" s="19" t="s">
        <v>103</v>
      </c>
      <c r="D628" s="18" t="s">
        <v>104</v>
      </c>
      <c r="E628" s="20" t="s">
        <v>22</v>
      </c>
      <c r="F628" s="21" t="s">
        <v>98</v>
      </c>
      <c r="G628" s="18" t="s">
        <v>32</v>
      </c>
      <c r="H628" s="18">
        <v>357.36</v>
      </c>
      <c r="I628" s="18">
        <v>340.27</v>
      </c>
      <c r="J628" s="18">
        <v>3924</v>
      </c>
      <c r="K628" s="18">
        <v>1402280.64</v>
      </c>
      <c r="L628" s="18">
        <v>1335219.48</v>
      </c>
      <c r="M628" s="23">
        <v>-67061.16</v>
      </c>
      <c r="N628" s="23">
        <v>-4.78</v>
      </c>
      <c r="O628" s="22" t="s">
        <v>25</v>
      </c>
      <c r="P628" s="18">
        <v>0.44950000000000001</v>
      </c>
      <c r="Q628" s="18">
        <v>1.49</v>
      </c>
    </row>
    <row r="629" spans="1:17" x14ac:dyDescent="0.35">
      <c r="A629" s="12" t="s">
        <v>1125</v>
      </c>
      <c r="B629" s="12" t="s">
        <v>535</v>
      </c>
      <c r="C629" s="13" t="s">
        <v>178</v>
      </c>
      <c r="D629" s="12" t="s">
        <v>179</v>
      </c>
      <c r="E629" s="14" t="s">
        <v>22</v>
      </c>
      <c r="F629" s="15" t="s">
        <v>23</v>
      </c>
      <c r="G629" s="12" t="s">
        <v>24</v>
      </c>
      <c r="H629" s="12">
        <v>159.28</v>
      </c>
      <c r="I629" s="12">
        <v>172.12</v>
      </c>
      <c r="J629" s="12">
        <v>2728</v>
      </c>
      <c r="K629" s="12">
        <v>434515.84</v>
      </c>
      <c r="L629" s="12">
        <v>469543.36</v>
      </c>
      <c r="M629" s="17">
        <v>35027.519999999997</v>
      </c>
      <c r="N629" s="17">
        <v>8.06</v>
      </c>
      <c r="O629" s="25" t="s">
        <v>45</v>
      </c>
      <c r="P629" s="12">
        <v>0.34889999999999999</v>
      </c>
      <c r="Q629" s="12">
        <v>1.53</v>
      </c>
    </row>
    <row r="630" spans="1:17" x14ac:dyDescent="0.35">
      <c r="A630" s="18" t="s">
        <v>1126</v>
      </c>
      <c r="B630" s="18" t="s">
        <v>418</v>
      </c>
      <c r="C630" s="19" t="s">
        <v>20</v>
      </c>
      <c r="D630" s="18" t="s">
        <v>21</v>
      </c>
      <c r="E630" s="20" t="s">
        <v>22</v>
      </c>
      <c r="F630" s="21" t="s">
        <v>23</v>
      </c>
      <c r="G630" s="18" t="s">
        <v>32</v>
      </c>
      <c r="H630" s="18">
        <v>530.6</v>
      </c>
      <c r="I630" s="18">
        <v>822.86</v>
      </c>
      <c r="J630" s="18">
        <v>2341</v>
      </c>
      <c r="K630" s="18">
        <v>1242134.6000000001</v>
      </c>
      <c r="L630" s="18">
        <v>1926315.26</v>
      </c>
      <c r="M630" s="22">
        <v>684180.66</v>
      </c>
      <c r="N630" s="22">
        <v>55.08</v>
      </c>
      <c r="O630" s="23" t="s">
        <v>33</v>
      </c>
      <c r="P630" s="18">
        <v>0.36059999999999998</v>
      </c>
      <c r="Q630" s="18">
        <v>0.72</v>
      </c>
    </row>
    <row r="631" spans="1:17" x14ac:dyDescent="0.35">
      <c r="A631" s="12" t="s">
        <v>1127</v>
      </c>
      <c r="B631" s="12" t="s">
        <v>153</v>
      </c>
      <c r="C631" s="13" t="s">
        <v>36</v>
      </c>
      <c r="D631" s="12" t="s">
        <v>37</v>
      </c>
      <c r="E631" s="14" t="s">
        <v>30</v>
      </c>
      <c r="F631" s="15" t="s">
        <v>98</v>
      </c>
      <c r="G631" s="12" t="s">
        <v>65</v>
      </c>
      <c r="H631" s="12">
        <v>237.93</v>
      </c>
      <c r="I631" s="12">
        <v>343.29</v>
      </c>
      <c r="J631" s="12">
        <v>1259</v>
      </c>
      <c r="K631" s="12">
        <v>299553.87</v>
      </c>
      <c r="L631" s="12">
        <v>432202.11</v>
      </c>
      <c r="M631" s="17">
        <v>132648.24</v>
      </c>
      <c r="N631" s="17">
        <v>44.28</v>
      </c>
      <c r="O631" s="16" t="s">
        <v>33</v>
      </c>
      <c r="P631" s="12">
        <v>0.3669</v>
      </c>
      <c r="Q631" s="12">
        <v>0.81</v>
      </c>
    </row>
    <row r="632" spans="1:17" x14ac:dyDescent="0.35">
      <c r="A632" s="18" t="s">
        <v>1128</v>
      </c>
      <c r="B632" s="18" t="s">
        <v>993</v>
      </c>
      <c r="C632" s="19" t="s">
        <v>137</v>
      </c>
      <c r="D632" s="18" t="s">
        <v>138</v>
      </c>
      <c r="E632" s="20" t="s">
        <v>50</v>
      </c>
      <c r="F632" s="21" t="s">
        <v>62</v>
      </c>
      <c r="G632" s="18" t="s">
        <v>65</v>
      </c>
      <c r="H632" s="18">
        <v>90.85</v>
      </c>
      <c r="I632" s="18">
        <v>81.790000000000006</v>
      </c>
      <c r="J632" s="18">
        <v>3734</v>
      </c>
      <c r="K632" s="18">
        <v>339233.9</v>
      </c>
      <c r="L632" s="18">
        <v>305403.86</v>
      </c>
      <c r="M632" s="23">
        <v>-33830.04</v>
      </c>
      <c r="N632" s="23">
        <v>-9.9700000000000006</v>
      </c>
      <c r="O632" s="24" t="s">
        <v>45</v>
      </c>
      <c r="P632" s="18">
        <v>0.50839999999999996</v>
      </c>
      <c r="Q632" s="18">
        <v>0.66</v>
      </c>
    </row>
    <row r="633" spans="1:17" x14ac:dyDescent="0.35">
      <c r="A633" s="12" t="s">
        <v>1129</v>
      </c>
      <c r="B633" s="12" t="s">
        <v>1130</v>
      </c>
      <c r="C633" s="13" t="s">
        <v>77</v>
      </c>
      <c r="D633" s="12" t="s">
        <v>78</v>
      </c>
      <c r="E633" s="14" t="s">
        <v>44</v>
      </c>
      <c r="F633" s="15" t="s">
        <v>38</v>
      </c>
      <c r="G633" s="12" t="s">
        <v>32</v>
      </c>
      <c r="H633" s="12">
        <v>149.11000000000001</v>
      </c>
      <c r="I633" s="12">
        <v>193.44</v>
      </c>
      <c r="J633" s="12">
        <v>3310</v>
      </c>
      <c r="K633" s="12">
        <v>493554.1</v>
      </c>
      <c r="L633" s="12">
        <v>640286.4</v>
      </c>
      <c r="M633" s="17">
        <v>146732.29999999999</v>
      </c>
      <c r="N633" s="17">
        <v>29.73</v>
      </c>
      <c r="O633" s="16" t="s">
        <v>33</v>
      </c>
      <c r="P633" s="12">
        <v>0.37490000000000001</v>
      </c>
      <c r="Q633" s="12">
        <v>1.6</v>
      </c>
    </row>
    <row r="634" spans="1:17" x14ac:dyDescent="0.35">
      <c r="A634" s="18" t="s">
        <v>1131</v>
      </c>
      <c r="B634" s="18" t="s">
        <v>1026</v>
      </c>
      <c r="C634" s="19" t="s">
        <v>119</v>
      </c>
      <c r="D634" s="18" t="s">
        <v>120</v>
      </c>
      <c r="E634" s="20" t="s">
        <v>44</v>
      </c>
      <c r="F634" s="21" t="s">
        <v>98</v>
      </c>
      <c r="G634" s="18" t="s">
        <v>65</v>
      </c>
      <c r="H634" s="18">
        <v>52.57</v>
      </c>
      <c r="I634" s="18">
        <v>72.5</v>
      </c>
      <c r="J634" s="18">
        <v>2822</v>
      </c>
      <c r="K634" s="18">
        <v>148352.54</v>
      </c>
      <c r="L634" s="18">
        <v>204595</v>
      </c>
      <c r="M634" s="22">
        <v>56242.46</v>
      </c>
      <c r="N634" s="22">
        <v>37.909999999999997</v>
      </c>
      <c r="O634" s="23" t="s">
        <v>33</v>
      </c>
      <c r="P634" s="18">
        <v>0.40849999999999997</v>
      </c>
      <c r="Q634" s="18">
        <v>1.24</v>
      </c>
    </row>
    <row r="635" spans="1:17" x14ac:dyDescent="0.35">
      <c r="A635" s="12" t="s">
        <v>1132</v>
      </c>
      <c r="B635" s="12" t="s">
        <v>505</v>
      </c>
      <c r="C635" s="13" t="s">
        <v>119</v>
      </c>
      <c r="D635" s="12" t="s">
        <v>120</v>
      </c>
      <c r="E635" s="14" t="s">
        <v>44</v>
      </c>
      <c r="F635" s="15" t="s">
        <v>31</v>
      </c>
      <c r="G635" s="12" t="s">
        <v>32</v>
      </c>
      <c r="H635" s="12">
        <v>42.2</v>
      </c>
      <c r="I635" s="12">
        <v>46.3</v>
      </c>
      <c r="J635" s="12">
        <v>3936</v>
      </c>
      <c r="K635" s="12">
        <v>166099.20000000001</v>
      </c>
      <c r="L635" s="12">
        <v>182236.79999999999</v>
      </c>
      <c r="M635" s="17">
        <v>16137.6</v>
      </c>
      <c r="N635" s="17">
        <v>9.7200000000000006</v>
      </c>
      <c r="O635" s="25" t="s">
        <v>45</v>
      </c>
      <c r="P635" s="12">
        <v>0.39710000000000001</v>
      </c>
      <c r="Q635" s="12">
        <v>1.52</v>
      </c>
    </row>
    <row r="636" spans="1:17" x14ac:dyDescent="0.35">
      <c r="A636" s="18" t="s">
        <v>1133</v>
      </c>
      <c r="B636" s="18" t="s">
        <v>244</v>
      </c>
      <c r="C636" s="19" t="s">
        <v>115</v>
      </c>
      <c r="D636" s="18" t="s">
        <v>116</v>
      </c>
      <c r="E636" s="20" t="s">
        <v>55</v>
      </c>
      <c r="F636" s="21" t="s">
        <v>23</v>
      </c>
      <c r="G636" s="18" t="s">
        <v>39</v>
      </c>
      <c r="H636" s="18">
        <v>876.61</v>
      </c>
      <c r="I636" s="18">
        <v>701.6</v>
      </c>
      <c r="J636" s="18">
        <v>2213</v>
      </c>
      <c r="K636" s="18">
        <v>1939937.93</v>
      </c>
      <c r="L636" s="18">
        <v>1552640.8</v>
      </c>
      <c r="M636" s="23">
        <v>-387297.13</v>
      </c>
      <c r="N636" s="23">
        <v>-19.96</v>
      </c>
      <c r="O636" s="24" t="s">
        <v>45</v>
      </c>
      <c r="P636" s="18">
        <v>0.42080000000000001</v>
      </c>
      <c r="Q636" s="18">
        <v>1.4</v>
      </c>
    </row>
    <row r="637" spans="1:17" x14ac:dyDescent="0.35">
      <c r="A637" s="12" t="s">
        <v>1134</v>
      </c>
      <c r="B637" s="12" t="s">
        <v>1135</v>
      </c>
      <c r="C637" s="13" t="s">
        <v>215</v>
      </c>
      <c r="D637" s="12" t="s">
        <v>216</v>
      </c>
      <c r="E637" s="14" t="s">
        <v>50</v>
      </c>
      <c r="F637" s="15" t="s">
        <v>31</v>
      </c>
      <c r="G637" s="12" t="s">
        <v>39</v>
      </c>
      <c r="H637" s="12">
        <v>158.82</v>
      </c>
      <c r="I637" s="12">
        <v>124.14</v>
      </c>
      <c r="J637" s="12">
        <v>635</v>
      </c>
      <c r="K637" s="12">
        <v>100850.7</v>
      </c>
      <c r="L637" s="12">
        <v>78828.899999999994</v>
      </c>
      <c r="M637" s="16">
        <v>-22021.8</v>
      </c>
      <c r="N637" s="16">
        <v>-21.84</v>
      </c>
      <c r="O637" s="25" t="s">
        <v>45</v>
      </c>
      <c r="P637" s="12">
        <v>0.31830000000000003</v>
      </c>
      <c r="Q637" s="12">
        <v>0.8</v>
      </c>
    </row>
    <row r="638" spans="1:17" x14ac:dyDescent="0.35">
      <c r="A638" s="18" t="s">
        <v>1136</v>
      </c>
      <c r="B638" s="18" t="s">
        <v>47</v>
      </c>
      <c r="C638" s="19" t="s">
        <v>48</v>
      </c>
      <c r="D638" s="18" t="s">
        <v>49</v>
      </c>
      <c r="E638" s="20" t="s">
        <v>50</v>
      </c>
      <c r="F638" s="21" t="s">
        <v>62</v>
      </c>
      <c r="G638" s="18" t="s">
        <v>32</v>
      </c>
      <c r="H638" s="18">
        <v>63.16</v>
      </c>
      <c r="I638" s="18">
        <v>87.16</v>
      </c>
      <c r="J638" s="18">
        <v>943</v>
      </c>
      <c r="K638" s="18">
        <v>59559.88</v>
      </c>
      <c r="L638" s="18">
        <v>82191.88</v>
      </c>
      <c r="M638" s="22">
        <v>22632</v>
      </c>
      <c r="N638" s="22">
        <v>38</v>
      </c>
      <c r="O638" s="23" t="s">
        <v>33</v>
      </c>
      <c r="P638" s="18">
        <v>0.16600000000000001</v>
      </c>
      <c r="Q638" s="18">
        <v>1.27</v>
      </c>
    </row>
    <row r="639" spans="1:17" x14ac:dyDescent="0.35">
      <c r="A639" s="12" t="s">
        <v>1137</v>
      </c>
      <c r="B639" s="12" t="s">
        <v>292</v>
      </c>
      <c r="C639" s="13" t="s">
        <v>60</v>
      </c>
      <c r="D639" s="12" t="s">
        <v>61</v>
      </c>
      <c r="E639" s="14" t="s">
        <v>22</v>
      </c>
      <c r="F639" s="15" t="s">
        <v>38</v>
      </c>
      <c r="G639" s="12" t="s">
        <v>39</v>
      </c>
      <c r="H639" s="12">
        <v>136.36000000000001</v>
      </c>
      <c r="I639" s="12">
        <v>123.49</v>
      </c>
      <c r="J639" s="12">
        <v>4937</v>
      </c>
      <c r="K639" s="12">
        <v>673209.32</v>
      </c>
      <c r="L639" s="12">
        <v>609670.13</v>
      </c>
      <c r="M639" s="16">
        <v>-63539.19</v>
      </c>
      <c r="N639" s="16">
        <v>-9.44</v>
      </c>
      <c r="O639" s="25" t="s">
        <v>45</v>
      </c>
      <c r="P639" s="12">
        <v>0.35560000000000003</v>
      </c>
      <c r="Q639" s="12">
        <v>1.77</v>
      </c>
    </row>
    <row r="640" spans="1:17" x14ac:dyDescent="0.35">
      <c r="A640" s="18" t="s">
        <v>1138</v>
      </c>
      <c r="B640" s="18" t="s">
        <v>381</v>
      </c>
      <c r="C640" s="19" t="s">
        <v>77</v>
      </c>
      <c r="D640" s="18" t="s">
        <v>78</v>
      </c>
      <c r="E640" s="20" t="s">
        <v>44</v>
      </c>
      <c r="F640" s="21" t="s">
        <v>23</v>
      </c>
      <c r="G640" s="18" t="s">
        <v>65</v>
      </c>
      <c r="H640" s="18">
        <v>161.59</v>
      </c>
      <c r="I640" s="18">
        <v>253.07</v>
      </c>
      <c r="J640" s="18">
        <v>4941</v>
      </c>
      <c r="K640" s="18">
        <v>798416.19</v>
      </c>
      <c r="L640" s="18">
        <v>1250418.8700000001</v>
      </c>
      <c r="M640" s="22">
        <v>452002.68</v>
      </c>
      <c r="N640" s="22">
        <v>56.61</v>
      </c>
      <c r="O640" s="23" t="s">
        <v>33</v>
      </c>
      <c r="P640" s="18">
        <v>0.3639</v>
      </c>
      <c r="Q640" s="18">
        <v>1.01</v>
      </c>
    </row>
    <row r="641" spans="1:17" x14ac:dyDescent="0.35">
      <c r="A641" s="12" t="s">
        <v>1139</v>
      </c>
      <c r="B641" s="12" t="s">
        <v>1140</v>
      </c>
      <c r="C641" s="13" t="s">
        <v>150</v>
      </c>
      <c r="D641" s="12" t="s">
        <v>151</v>
      </c>
      <c r="E641" s="14" t="s">
        <v>55</v>
      </c>
      <c r="F641" s="15" t="s">
        <v>62</v>
      </c>
      <c r="G641" s="12" t="s">
        <v>32</v>
      </c>
      <c r="H641" s="12">
        <v>137.07</v>
      </c>
      <c r="I641" s="12">
        <v>177.81</v>
      </c>
      <c r="J641" s="12">
        <v>4086</v>
      </c>
      <c r="K641" s="12">
        <v>560068.02</v>
      </c>
      <c r="L641" s="12">
        <v>726531.66</v>
      </c>
      <c r="M641" s="17">
        <v>166463.64000000001</v>
      </c>
      <c r="N641" s="17">
        <v>29.72</v>
      </c>
      <c r="O641" s="16" t="s">
        <v>33</v>
      </c>
      <c r="P641" s="12">
        <v>0.25990000000000002</v>
      </c>
      <c r="Q641" s="12">
        <v>0.72</v>
      </c>
    </row>
    <row r="642" spans="1:17" x14ac:dyDescent="0.35">
      <c r="A642" s="18" t="s">
        <v>1141</v>
      </c>
      <c r="B642" s="18" t="s">
        <v>1142</v>
      </c>
      <c r="C642" s="19" t="s">
        <v>119</v>
      </c>
      <c r="D642" s="18" t="s">
        <v>120</v>
      </c>
      <c r="E642" s="20" t="s">
        <v>44</v>
      </c>
      <c r="F642" s="21" t="s">
        <v>38</v>
      </c>
      <c r="G642" s="18" t="s">
        <v>24</v>
      </c>
      <c r="H642" s="18">
        <v>49.41</v>
      </c>
      <c r="I642" s="18">
        <v>67.19</v>
      </c>
      <c r="J642" s="18">
        <v>670</v>
      </c>
      <c r="K642" s="18">
        <v>33104.699999999997</v>
      </c>
      <c r="L642" s="18">
        <v>45017.3</v>
      </c>
      <c r="M642" s="22">
        <v>11912.6</v>
      </c>
      <c r="N642" s="22">
        <v>35.979999999999997</v>
      </c>
      <c r="O642" s="23" t="s">
        <v>33</v>
      </c>
      <c r="P642" s="18">
        <v>0.3765</v>
      </c>
      <c r="Q642" s="18">
        <v>1.58</v>
      </c>
    </row>
    <row r="643" spans="1:17" x14ac:dyDescent="0.35">
      <c r="A643" s="12" t="s">
        <v>1143</v>
      </c>
      <c r="B643" s="12" t="s">
        <v>218</v>
      </c>
      <c r="C643" s="13" t="s">
        <v>215</v>
      </c>
      <c r="D643" s="12" t="s">
        <v>216</v>
      </c>
      <c r="E643" s="14" t="s">
        <v>50</v>
      </c>
      <c r="F643" s="15" t="s">
        <v>31</v>
      </c>
      <c r="G643" s="12" t="s">
        <v>32</v>
      </c>
      <c r="H643" s="12">
        <v>175.22</v>
      </c>
      <c r="I643" s="12">
        <v>263.02</v>
      </c>
      <c r="J643" s="12">
        <v>1882</v>
      </c>
      <c r="K643" s="12">
        <v>329764.03999999998</v>
      </c>
      <c r="L643" s="12">
        <v>495003.64</v>
      </c>
      <c r="M643" s="17">
        <v>165239.6</v>
      </c>
      <c r="N643" s="17">
        <v>50.11</v>
      </c>
      <c r="O643" s="16" t="s">
        <v>33</v>
      </c>
      <c r="P643" s="12">
        <v>0.50839999999999996</v>
      </c>
      <c r="Q643" s="12">
        <v>1.36</v>
      </c>
    </row>
    <row r="644" spans="1:17" x14ac:dyDescent="0.35">
      <c r="A644" s="18" t="s">
        <v>1144</v>
      </c>
      <c r="B644" s="18" t="s">
        <v>1145</v>
      </c>
      <c r="C644" s="19" t="s">
        <v>178</v>
      </c>
      <c r="D644" s="18" t="s">
        <v>179</v>
      </c>
      <c r="E644" s="20" t="s">
        <v>22</v>
      </c>
      <c r="F644" s="21" t="s">
        <v>38</v>
      </c>
      <c r="G644" s="18" t="s">
        <v>32</v>
      </c>
      <c r="H644" s="18">
        <v>164.05</v>
      </c>
      <c r="I644" s="18">
        <v>215.05</v>
      </c>
      <c r="J644" s="18">
        <v>4452</v>
      </c>
      <c r="K644" s="18">
        <v>730350.6</v>
      </c>
      <c r="L644" s="18">
        <v>957402.6</v>
      </c>
      <c r="M644" s="22">
        <v>227052</v>
      </c>
      <c r="N644" s="22">
        <v>31.09</v>
      </c>
      <c r="O644" s="23" t="s">
        <v>33</v>
      </c>
      <c r="P644" s="18">
        <v>0.31230000000000002</v>
      </c>
      <c r="Q644" s="18">
        <v>0.85</v>
      </c>
    </row>
    <row r="645" spans="1:17" x14ac:dyDescent="0.35">
      <c r="A645" s="12" t="s">
        <v>1146</v>
      </c>
      <c r="B645" s="12" t="s">
        <v>1147</v>
      </c>
      <c r="C645" s="13" t="s">
        <v>215</v>
      </c>
      <c r="D645" s="12" t="s">
        <v>216</v>
      </c>
      <c r="E645" s="14" t="s">
        <v>50</v>
      </c>
      <c r="F645" s="15" t="s">
        <v>38</v>
      </c>
      <c r="G645" s="12" t="s">
        <v>24</v>
      </c>
      <c r="H645" s="12">
        <v>183.53</v>
      </c>
      <c r="I645" s="12">
        <v>236.37</v>
      </c>
      <c r="J645" s="12">
        <v>2920</v>
      </c>
      <c r="K645" s="12">
        <v>535907.6</v>
      </c>
      <c r="L645" s="12">
        <v>690200.4</v>
      </c>
      <c r="M645" s="17">
        <v>154292.79999999999</v>
      </c>
      <c r="N645" s="17">
        <v>28.79</v>
      </c>
      <c r="O645" s="16" t="s">
        <v>33</v>
      </c>
      <c r="P645" s="12">
        <v>0.38290000000000002</v>
      </c>
      <c r="Q645" s="12">
        <v>1.21</v>
      </c>
    </row>
    <row r="646" spans="1:17" x14ac:dyDescent="0.35">
      <c r="A646" s="18" t="s">
        <v>1148</v>
      </c>
      <c r="B646" s="18" t="s">
        <v>740</v>
      </c>
      <c r="C646" s="19" t="s">
        <v>87</v>
      </c>
      <c r="D646" s="18" t="s">
        <v>88</v>
      </c>
      <c r="E646" s="20" t="s">
        <v>22</v>
      </c>
      <c r="F646" s="21" t="s">
        <v>98</v>
      </c>
      <c r="G646" s="18" t="s">
        <v>32</v>
      </c>
      <c r="H646" s="18">
        <v>399.13</v>
      </c>
      <c r="I646" s="18">
        <v>351.47</v>
      </c>
      <c r="J646" s="18">
        <v>4596</v>
      </c>
      <c r="K646" s="18">
        <v>1834401.48</v>
      </c>
      <c r="L646" s="18">
        <v>1615356.12</v>
      </c>
      <c r="M646" s="23">
        <v>-219045.36</v>
      </c>
      <c r="N646" s="23">
        <v>-11.94</v>
      </c>
      <c r="O646" s="24" t="s">
        <v>45</v>
      </c>
      <c r="P646" s="18">
        <v>0.36080000000000001</v>
      </c>
      <c r="Q646" s="18">
        <v>1.77</v>
      </c>
    </row>
    <row r="647" spans="1:17" x14ac:dyDescent="0.35">
      <c r="A647" s="12" t="s">
        <v>1149</v>
      </c>
      <c r="B647" s="12" t="s">
        <v>1150</v>
      </c>
      <c r="C647" s="13" t="s">
        <v>20</v>
      </c>
      <c r="D647" s="12" t="s">
        <v>21</v>
      </c>
      <c r="E647" s="14" t="s">
        <v>22</v>
      </c>
      <c r="F647" s="15" t="s">
        <v>23</v>
      </c>
      <c r="G647" s="12" t="s">
        <v>32</v>
      </c>
      <c r="H647" s="12">
        <v>636.4</v>
      </c>
      <c r="I647" s="12">
        <v>735.67</v>
      </c>
      <c r="J647" s="12">
        <v>3636</v>
      </c>
      <c r="K647" s="12">
        <v>2313950.4</v>
      </c>
      <c r="L647" s="12">
        <v>2674896.12</v>
      </c>
      <c r="M647" s="17">
        <v>360945.72</v>
      </c>
      <c r="N647" s="17">
        <v>15.6</v>
      </c>
      <c r="O647" s="25" t="s">
        <v>45</v>
      </c>
      <c r="P647" s="12">
        <v>0.25679999999999997</v>
      </c>
      <c r="Q647" s="12">
        <v>1.06</v>
      </c>
    </row>
    <row r="648" spans="1:17" x14ac:dyDescent="0.35">
      <c r="A648" s="18" t="s">
        <v>1151</v>
      </c>
      <c r="B648" s="18" t="s">
        <v>693</v>
      </c>
      <c r="C648" s="19" t="s">
        <v>77</v>
      </c>
      <c r="D648" s="18" t="s">
        <v>78</v>
      </c>
      <c r="E648" s="20" t="s">
        <v>44</v>
      </c>
      <c r="F648" s="21" t="s">
        <v>23</v>
      </c>
      <c r="G648" s="18" t="s">
        <v>39</v>
      </c>
      <c r="H648" s="18">
        <v>147.13</v>
      </c>
      <c r="I648" s="18">
        <v>128.81</v>
      </c>
      <c r="J648" s="18">
        <v>3990</v>
      </c>
      <c r="K648" s="18">
        <v>587048.69999999995</v>
      </c>
      <c r="L648" s="18">
        <v>513951.9</v>
      </c>
      <c r="M648" s="23">
        <v>-73096.800000000003</v>
      </c>
      <c r="N648" s="23">
        <v>-12.45</v>
      </c>
      <c r="O648" s="24" t="s">
        <v>45</v>
      </c>
      <c r="P648" s="18">
        <v>0.48259999999999997</v>
      </c>
      <c r="Q648" s="18">
        <v>1.03</v>
      </c>
    </row>
    <row r="649" spans="1:17" x14ac:dyDescent="0.35">
      <c r="A649" s="12" t="s">
        <v>1152</v>
      </c>
      <c r="B649" s="12" t="s">
        <v>1153</v>
      </c>
      <c r="C649" s="13" t="s">
        <v>42</v>
      </c>
      <c r="D649" s="12" t="s">
        <v>43</v>
      </c>
      <c r="E649" s="14" t="s">
        <v>44</v>
      </c>
      <c r="F649" s="15" t="s">
        <v>23</v>
      </c>
      <c r="G649" s="12" t="s">
        <v>24</v>
      </c>
      <c r="H649" s="12">
        <v>469.41</v>
      </c>
      <c r="I649" s="12">
        <v>626.13</v>
      </c>
      <c r="J649" s="12">
        <v>1200</v>
      </c>
      <c r="K649" s="12">
        <v>563292</v>
      </c>
      <c r="L649" s="12">
        <v>751356</v>
      </c>
      <c r="M649" s="17">
        <v>188064</v>
      </c>
      <c r="N649" s="17">
        <v>33.39</v>
      </c>
      <c r="O649" s="16" t="s">
        <v>33</v>
      </c>
      <c r="P649" s="12">
        <v>0.18190000000000001</v>
      </c>
      <c r="Q649" s="12">
        <v>1.66</v>
      </c>
    </row>
    <row r="650" spans="1:17" x14ac:dyDescent="0.35">
      <c r="A650" s="18" t="s">
        <v>1154</v>
      </c>
      <c r="B650" s="18" t="s">
        <v>1155</v>
      </c>
      <c r="C650" s="19" t="s">
        <v>42</v>
      </c>
      <c r="D650" s="18" t="s">
        <v>43</v>
      </c>
      <c r="E650" s="20" t="s">
        <v>44</v>
      </c>
      <c r="F650" s="21" t="s">
        <v>23</v>
      </c>
      <c r="G650" s="18" t="s">
        <v>32</v>
      </c>
      <c r="H650" s="18">
        <v>609.42999999999995</v>
      </c>
      <c r="I650" s="18">
        <v>917.5</v>
      </c>
      <c r="J650" s="18">
        <v>3506</v>
      </c>
      <c r="K650" s="18">
        <v>2136661.58</v>
      </c>
      <c r="L650" s="18">
        <v>3216755</v>
      </c>
      <c r="M650" s="22">
        <v>1080093.42</v>
      </c>
      <c r="N650" s="22">
        <v>50.55</v>
      </c>
      <c r="O650" s="23" t="s">
        <v>33</v>
      </c>
      <c r="P650" s="18">
        <v>0.41899999999999998</v>
      </c>
      <c r="Q650" s="18">
        <v>1.72</v>
      </c>
    </row>
    <row r="651" spans="1:17" x14ac:dyDescent="0.35">
      <c r="A651" s="12" t="s">
        <v>1156</v>
      </c>
      <c r="B651" s="12" t="s">
        <v>799</v>
      </c>
      <c r="C651" s="13" t="s">
        <v>53</v>
      </c>
      <c r="D651" s="12" t="s">
        <v>54</v>
      </c>
      <c r="E651" s="14" t="s">
        <v>55</v>
      </c>
      <c r="F651" s="15" t="s">
        <v>62</v>
      </c>
      <c r="G651" s="12" t="s">
        <v>39</v>
      </c>
      <c r="H651" s="12">
        <v>91.41</v>
      </c>
      <c r="I651" s="12">
        <v>75.599999999999994</v>
      </c>
      <c r="J651" s="12">
        <v>3574</v>
      </c>
      <c r="K651" s="12">
        <v>326699.34000000003</v>
      </c>
      <c r="L651" s="12">
        <v>270194.40000000002</v>
      </c>
      <c r="M651" s="16">
        <v>-56504.94</v>
      </c>
      <c r="N651" s="16">
        <v>-17.3</v>
      </c>
      <c r="O651" s="25" t="s">
        <v>45</v>
      </c>
      <c r="P651" s="12">
        <v>0.27279999999999999</v>
      </c>
      <c r="Q651" s="12">
        <v>0.82</v>
      </c>
    </row>
    <row r="652" spans="1:17" x14ac:dyDescent="0.35">
      <c r="A652" s="18" t="s">
        <v>1157</v>
      </c>
      <c r="B652" s="18" t="s">
        <v>932</v>
      </c>
      <c r="C652" s="19" t="s">
        <v>53</v>
      </c>
      <c r="D652" s="18" t="s">
        <v>54</v>
      </c>
      <c r="E652" s="20" t="s">
        <v>55</v>
      </c>
      <c r="F652" s="21" t="s">
        <v>23</v>
      </c>
      <c r="G652" s="18" t="s">
        <v>39</v>
      </c>
      <c r="H652" s="18">
        <v>83.77</v>
      </c>
      <c r="I652" s="18">
        <v>87.64</v>
      </c>
      <c r="J652" s="18">
        <v>4210</v>
      </c>
      <c r="K652" s="18">
        <v>352671.7</v>
      </c>
      <c r="L652" s="18">
        <v>368964.4</v>
      </c>
      <c r="M652" s="22">
        <v>16292.7</v>
      </c>
      <c r="N652" s="22">
        <v>4.62</v>
      </c>
      <c r="O652" s="22" t="s">
        <v>25</v>
      </c>
      <c r="P652" s="18">
        <v>0.36780000000000002</v>
      </c>
      <c r="Q652" s="18">
        <v>0.64</v>
      </c>
    </row>
    <row r="653" spans="1:17" x14ac:dyDescent="0.35">
      <c r="A653" s="12" t="s">
        <v>1158</v>
      </c>
      <c r="B653" s="12" t="s">
        <v>505</v>
      </c>
      <c r="C653" s="13" t="s">
        <v>103</v>
      </c>
      <c r="D653" s="12" t="s">
        <v>104</v>
      </c>
      <c r="E653" s="14" t="s">
        <v>22</v>
      </c>
      <c r="F653" s="15" t="s">
        <v>98</v>
      </c>
      <c r="G653" s="12" t="s">
        <v>39</v>
      </c>
      <c r="H653" s="12">
        <v>327.71</v>
      </c>
      <c r="I653" s="12">
        <v>348.16</v>
      </c>
      <c r="J653" s="12">
        <v>1027</v>
      </c>
      <c r="K653" s="12">
        <v>336558.17</v>
      </c>
      <c r="L653" s="12">
        <v>357560.32000000001</v>
      </c>
      <c r="M653" s="17">
        <v>21002.15</v>
      </c>
      <c r="N653" s="17">
        <v>6.24</v>
      </c>
      <c r="O653" s="17" t="s">
        <v>25</v>
      </c>
      <c r="P653" s="12">
        <v>0.15440000000000001</v>
      </c>
      <c r="Q653" s="12">
        <v>1.48</v>
      </c>
    </row>
    <row r="654" spans="1:17" x14ac:dyDescent="0.35">
      <c r="A654" s="18" t="s">
        <v>1159</v>
      </c>
      <c r="B654" s="18" t="s">
        <v>1069</v>
      </c>
      <c r="C654" s="19" t="s">
        <v>72</v>
      </c>
      <c r="D654" s="18" t="s">
        <v>73</v>
      </c>
      <c r="E654" s="20" t="s">
        <v>74</v>
      </c>
      <c r="F654" s="21" t="s">
        <v>62</v>
      </c>
      <c r="G654" s="18" t="s">
        <v>39</v>
      </c>
      <c r="H654" s="18">
        <v>453.15</v>
      </c>
      <c r="I654" s="18">
        <v>408.12</v>
      </c>
      <c r="J654" s="18">
        <v>740</v>
      </c>
      <c r="K654" s="18">
        <v>335331</v>
      </c>
      <c r="L654" s="18">
        <v>302008.8</v>
      </c>
      <c r="M654" s="23">
        <v>-33322.199999999997</v>
      </c>
      <c r="N654" s="23">
        <v>-9.94</v>
      </c>
      <c r="O654" s="24" t="s">
        <v>45</v>
      </c>
      <c r="P654" s="18">
        <v>0.22539999999999999</v>
      </c>
      <c r="Q654" s="18">
        <v>1.36</v>
      </c>
    </row>
    <row r="655" spans="1:17" x14ac:dyDescent="0.35">
      <c r="A655" s="12" t="s">
        <v>1160</v>
      </c>
      <c r="B655" s="12" t="s">
        <v>910</v>
      </c>
      <c r="C655" s="13" t="s">
        <v>60</v>
      </c>
      <c r="D655" s="12" t="s">
        <v>61</v>
      </c>
      <c r="E655" s="14" t="s">
        <v>22</v>
      </c>
      <c r="F655" s="15" t="s">
        <v>62</v>
      </c>
      <c r="G655" s="12" t="s">
        <v>24</v>
      </c>
      <c r="H655" s="12">
        <v>156.94999999999999</v>
      </c>
      <c r="I655" s="12">
        <v>196.9</v>
      </c>
      <c r="J655" s="12">
        <v>532</v>
      </c>
      <c r="K655" s="12">
        <v>83497.399999999994</v>
      </c>
      <c r="L655" s="12">
        <v>104750.8</v>
      </c>
      <c r="M655" s="17">
        <v>21253.4</v>
      </c>
      <c r="N655" s="17">
        <v>25.45</v>
      </c>
      <c r="O655" s="16" t="s">
        <v>33</v>
      </c>
      <c r="P655" s="12">
        <v>0.1246</v>
      </c>
      <c r="Q655" s="12">
        <v>1.1399999999999999</v>
      </c>
    </row>
    <row r="656" spans="1:17" x14ac:dyDescent="0.35">
      <c r="A656" s="18" t="s">
        <v>1161</v>
      </c>
      <c r="B656" s="18" t="s">
        <v>1162</v>
      </c>
      <c r="C656" s="19" t="s">
        <v>115</v>
      </c>
      <c r="D656" s="18" t="s">
        <v>116</v>
      </c>
      <c r="E656" s="20" t="s">
        <v>55</v>
      </c>
      <c r="F656" s="21" t="s">
        <v>38</v>
      </c>
      <c r="G656" s="18" t="s">
        <v>65</v>
      </c>
      <c r="H656" s="18">
        <v>887.78</v>
      </c>
      <c r="I656" s="18">
        <v>1277.3</v>
      </c>
      <c r="J656" s="18">
        <v>2991</v>
      </c>
      <c r="K656" s="18">
        <v>2655349.98</v>
      </c>
      <c r="L656" s="18">
        <v>3820404.3</v>
      </c>
      <c r="M656" s="22">
        <v>1165054.32</v>
      </c>
      <c r="N656" s="22">
        <v>43.88</v>
      </c>
      <c r="O656" s="23" t="s">
        <v>33</v>
      </c>
      <c r="P656" s="18">
        <v>0.24440000000000001</v>
      </c>
      <c r="Q656" s="18">
        <v>0.64</v>
      </c>
    </row>
    <row r="657" spans="1:17" x14ac:dyDescent="0.35">
      <c r="A657" s="12" t="s">
        <v>1163</v>
      </c>
      <c r="B657" s="12" t="s">
        <v>1164</v>
      </c>
      <c r="C657" s="13" t="s">
        <v>53</v>
      </c>
      <c r="D657" s="12" t="s">
        <v>54</v>
      </c>
      <c r="E657" s="14" t="s">
        <v>55</v>
      </c>
      <c r="F657" s="15" t="s">
        <v>31</v>
      </c>
      <c r="G657" s="12" t="s">
        <v>24</v>
      </c>
      <c r="H657" s="12">
        <v>92.11</v>
      </c>
      <c r="I657" s="12">
        <v>117.99</v>
      </c>
      <c r="J657" s="12">
        <v>3976</v>
      </c>
      <c r="K657" s="12">
        <v>366229.36</v>
      </c>
      <c r="L657" s="12">
        <v>469128.24</v>
      </c>
      <c r="M657" s="17">
        <v>102898.88</v>
      </c>
      <c r="N657" s="17">
        <v>28.1</v>
      </c>
      <c r="O657" s="16" t="s">
        <v>33</v>
      </c>
      <c r="P657" s="12">
        <v>0.4022</v>
      </c>
      <c r="Q657" s="12">
        <v>0.95</v>
      </c>
    </row>
    <row r="658" spans="1:17" x14ac:dyDescent="0.35">
      <c r="A658" s="18" t="s">
        <v>1165</v>
      </c>
      <c r="B658" s="18" t="s">
        <v>1166</v>
      </c>
      <c r="C658" s="19" t="s">
        <v>53</v>
      </c>
      <c r="D658" s="18" t="s">
        <v>54</v>
      </c>
      <c r="E658" s="20" t="s">
        <v>55</v>
      </c>
      <c r="F658" s="21" t="s">
        <v>38</v>
      </c>
      <c r="G658" s="18" t="s">
        <v>24</v>
      </c>
      <c r="H658" s="18">
        <v>79.92</v>
      </c>
      <c r="I658" s="18">
        <v>74.63</v>
      </c>
      <c r="J658" s="18">
        <v>775</v>
      </c>
      <c r="K658" s="18">
        <v>61938</v>
      </c>
      <c r="L658" s="18">
        <v>57838.25</v>
      </c>
      <c r="M658" s="23">
        <v>-4099.75</v>
      </c>
      <c r="N658" s="23">
        <v>-6.62</v>
      </c>
      <c r="O658" s="22" t="s">
        <v>25</v>
      </c>
      <c r="P658" s="18">
        <v>0.45700000000000002</v>
      </c>
      <c r="Q658" s="18">
        <v>0.9</v>
      </c>
    </row>
    <row r="659" spans="1:17" x14ac:dyDescent="0.35">
      <c r="A659" s="12" t="s">
        <v>1167</v>
      </c>
      <c r="B659" s="12" t="s">
        <v>1168</v>
      </c>
      <c r="C659" s="13" t="s">
        <v>53</v>
      </c>
      <c r="D659" s="12" t="s">
        <v>54</v>
      </c>
      <c r="E659" s="14" t="s">
        <v>55</v>
      </c>
      <c r="F659" s="15" t="s">
        <v>98</v>
      </c>
      <c r="G659" s="12" t="s">
        <v>24</v>
      </c>
      <c r="H659" s="12">
        <v>96.52</v>
      </c>
      <c r="I659" s="12">
        <v>125.73</v>
      </c>
      <c r="J659" s="12">
        <v>216</v>
      </c>
      <c r="K659" s="12">
        <v>20848.32</v>
      </c>
      <c r="L659" s="12">
        <v>27157.68</v>
      </c>
      <c r="M659" s="17">
        <v>6309.36</v>
      </c>
      <c r="N659" s="17">
        <v>30.26</v>
      </c>
      <c r="O659" s="16" t="s">
        <v>33</v>
      </c>
      <c r="P659" s="12">
        <v>0.51139999999999997</v>
      </c>
      <c r="Q659" s="12">
        <v>1.49</v>
      </c>
    </row>
    <row r="660" spans="1:17" x14ac:dyDescent="0.35">
      <c r="A660" s="18" t="s">
        <v>1169</v>
      </c>
      <c r="B660" s="18" t="s">
        <v>144</v>
      </c>
      <c r="C660" s="19" t="s">
        <v>119</v>
      </c>
      <c r="D660" s="18" t="s">
        <v>120</v>
      </c>
      <c r="E660" s="20" t="s">
        <v>44</v>
      </c>
      <c r="F660" s="21" t="s">
        <v>98</v>
      </c>
      <c r="G660" s="18" t="s">
        <v>32</v>
      </c>
      <c r="H660" s="18">
        <v>47.78</v>
      </c>
      <c r="I660" s="18">
        <v>68.78</v>
      </c>
      <c r="J660" s="18">
        <v>2034</v>
      </c>
      <c r="K660" s="18">
        <v>97184.52</v>
      </c>
      <c r="L660" s="18">
        <v>139898.51999999999</v>
      </c>
      <c r="M660" s="22">
        <v>42714</v>
      </c>
      <c r="N660" s="22">
        <v>43.95</v>
      </c>
      <c r="O660" s="23" t="s">
        <v>33</v>
      </c>
      <c r="P660" s="18">
        <v>0.49070000000000003</v>
      </c>
      <c r="Q660" s="18">
        <v>1.01</v>
      </c>
    </row>
    <row r="661" spans="1:17" x14ac:dyDescent="0.35">
      <c r="A661" s="12" t="s">
        <v>1170</v>
      </c>
      <c r="B661" s="12" t="s">
        <v>1171</v>
      </c>
      <c r="C661" s="13" t="s">
        <v>60</v>
      </c>
      <c r="D661" s="12" t="s">
        <v>61</v>
      </c>
      <c r="E661" s="14" t="s">
        <v>22</v>
      </c>
      <c r="F661" s="15" t="s">
        <v>38</v>
      </c>
      <c r="G661" s="12" t="s">
        <v>32</v>
      </c>
      <c r="H661" s="12">
        <v>151.36000000000001</v>
      </c>
      <c r="I661" s="12">
        <v>158.41</v>
      </c>
      <c r="J661" s="12">
        <v>3482</v>
      </c>
      <c r="K661" s="12">
        <v>527035.52</v>
      </c>
      <c r="L661" s="12">
        <v>551583.62</v>
      </c>
      <c r="M661" s="17">
        <v>24548.1</v>
      </c>
      <c r="N661" s="17">
        <v>4.66</v>
      </c>
      <c r="O661" s="17" t="s">
        <v>25</v>
      </c>
      <c r="P661" s="12">
        <v>0.30930000000000002</v>
      </c>
      <c r="Q661" s="12">
        <v>1.37</v>
      </c>
    </row>
    <row r="662" spans="1:17" x14ac:dyDescent="0.35">
      <c r="A662" s="18" t="s">
        <v>1172</v>
      </c>
      <c r="B662" s="18" t="s">
        <v>535</v>
      </c>
      <c r="C662" s="19" t="s">
        <v>95</v>
      </c>
      <c r="D662" s="18" t="s">
        <v>96</v>
      </c>
      <c r="E662" s="20" t="s">
        <v>97</v>
      </c>
      <c r="F662" s="21" t="s">
        <v>31</v>
      </c>
      <c r="G662" s="18" t="s">
        <v>65</v>
      </c>
      <c r="H662" s="18">
        <v>236.86</v>
      </c>
      <c r="I662" s="18">
        <v>227.67</v>
      </c>
      <c r="J662" s="18">
        <v>2265</v>
      </c>
      <c r="K662" s="18">
        <v>536487.9</v>
      </c>
      <c r="L662" s="18">
        <v>515672.55</v>
      </c>
      <c r="M662" s="23">
        <v>-20815.349999999999</v>
      </c>
      <c r="N662" s="23">
        <v>-3.88</v>
      </c>
      <c r="O662" s="22" t="s">
        <v>25</v>
      </c>
      <c r="P662" s="18">
        <v>0.19209999999999999</v>
      </c>
      <c r="Q662" s="18">
        <v>1.08</v>
      </c>
    </row>
    <row r="663" spans="1:17" x14ac:dyDescent="0.35">
      <c r="A663" s="12" t="s">
        <v>1173</v>
      </c>
      <c r="B663" s="12" t="s">
        <v>983</v>
      </c>
      <c r="C663" s="13" t="s">
        <v>137</v>
      </c>
      <c r="D663" s="12" t="s">
        <v>138</v>
      </c>
      <c r="E663" s="14" t="s">
        <v>50</v>
      </c>
      <c r="F663" s="15" t="s">
        <v>38</v>
      </c>
      <c r="G663" s="12" t="s">
        <v>39</v>
      </c>
      <c r="H663" s="12">
        <v>104.2</v>
      </c>
      <c r="I663" s="12">
        <v>71.56</v>
      </c>
      <c r="J663" s="12">
        <v>3295</v>
      </c>
      <c r="K663" s="12">
        <v>343339</v>
      </c>
      <c r="L663" s="12">
        <v>235790.2</v>
      </c>
      <c r="M663" s="16">
        <v>-107548.8</v>
      </c>
      <c r="N663" s="16">
        <v>-31.32</v>
      </c>
      <c r="O663" s="16" t="s">
        <v>33</v>
      </c>
      <c r="P663" s="12">
        <v>0.49419999999999997</v>
      </c>
      <c r="Q663" s="12">
        <v>0.61</v>
      </c>
    </row>
    <row r="664" spans="1:17" x14ac:dyDescent="0.35">
      <c r="A664" s="18" t="s">
        <v>1174</v>
      </c>
      <c r="B664" s="18" t="s">
        <v>1175</v>
      </c>
      <c r="C664" s="19" t="s">
        <v>119</v>
      </c>
      <c r="D664" s="18" t="s">
        <v>120</v>
      </c>
      <c r="E664" s="20" t="s">
        <v>44</v>
      </c>
      <c r="F664" s="21" t="s">
        <v>62</v>
      </c>
      <c r="G664" s="18" t="s">
        <v>65</v>
      </c>
      <c r="H664" s="18">
        <v>42.2</v>
      </c>
      <c r="I664" s="18">
        <v>52.83</v>
      </c>
      <c r="J664" s="18">
        <v>436</v>
      </c>
      <c r="K664" s="18">
        <v>18399.2</v>
      </c>
      <c r="L664" s="18">
        <v>23033.88</v>
      </c>
      <c r="M664" s="22">
        <v>4634.68</v>
      </c>
      <c r="N664" s="22">
        <v>25.19</v>
      </c>
      <c r="O664" s="23" t="s">
        <v>33</v>
      </c>
      <c r="P664" s="18">
        <v>0.27210000000000001</v>
      </c>
      <c r="Q664" s="18">
        <v>1.61</v>
      </c>
    </row>
    <row r="665" spans="1:17" x14ac:dyDescent="0.35">
      <c r="A665" s="12" t="s">
        <v>1176</v>
      </c>
      <c r="B665" s="12" t="s">
        <v>375</v>
      </c>
      <c r="C665" s="13" t="s">
        <v>53</v>
      </c>
      <c r="D665" s="12" t="s">
        <v>54</v>
      </c>
      <c r="E665" s="14" t="s">
        <v>55</v>
      </c>
      <c r="F665" s="15" t="s">
        <v>98</v>
      </c>
      <c r="G665" s="12" t="s">
        <v>24</v>
      </c>
      <c r="H665" s="12">
        <v>83.71</v>
      </c>
      <c r="I665" s="12">
        <v>79.42</v>
      </c>
      <c r="J665" s="12">
        <v>2314</v>
      </c>
      <c r="K665" s="12">
        <v>193704.94</v>
      </c>
      <c r="L665" s="12">
        <v>183777.88</v>
      </c>
      <c r="M665" s="16">
        <v>-9927.06</v>
      </c>
      <c r="N665" s="16">
        <v>-5.12</v>
      </c>
      <c r="O665" s="17" t="s">
        <v>25</v>
      </c>
      <c r="P665" s="12">
        <v>0.40139999999999998</v>
      </c>
      <c r="Q665" s="12">
        <v>1.07</v>
      </c>
    </row>
    <row r="666" spans="1:17" x14ac:dyDescent="0.35">
      <c r="A666" s="18" t="s">
        <v>1177</v>
      </c>
      <c r="B666" s="18" t="s">
        <v>173</v>
      </c>
      <c r="C666" s="19" t="s">
        <v>150</v>
      </c>
      <c r="D666" s="18" t="s">
        <v>151</v>
      </c>
      <c r="E666" s="20" t="s">
        <v>55</v>
      </c>
      <c r="F666" s="21" t="s">
        <v>62</v>
      </c>
      <c r="G666" s="18" t="s">
        <v>39</v>
      </c>
      <c r="H666" s="18">
        <v>163.26</v>
      </c>
      <c r="I666" s="18">
        <v>175.81</v>
      </c>
      <c r="J666" s="18">
        <v>2864</v>
      </c>
      <c r="K666" s="18">
        <v>467576.64</v>
      </c>
      <c r="L666" s="18">
        <v>503519.84</v>
      </c>
      <c r="M666" s="22">
        <v>35943.199999999997</v>
      </c>
      <c r="N666" s="22">
        <v>7.69</v>
      </c>
      <c r="O666" s="22" t="s">
        <v>25</v>
      </c>
      <c r="P666" s="18">
        <v>0.25469999999999998</v>
      </c>
      <c r="Q666" s="18">
        <v>0.61</v>
      </c>
    </row>
    <row r="667" spans="1:17" x14ac:dyDescent="0.35">
      <c r="A667" s="12" t="s">
        <v>1178</v>
      </c>
      <c r="B667" s="12" t="s">
        <v>409</v>
      </c>
      <c r="C667" s="13" t="s">
        <v>178</v>
      </c>
      <c r="D667" s="12" t="s">
        <v>179</v>
      </c>
      <c r="E667" s="14" t="s">
        <v>22</v>
      </c>
      <c r="F667" s="15" t="s">
        <v>38</v>
      </c>
      <c r="G667" s="12" t="s">
        <v>32</v>
      </c>
      <c r="H667" s="12">
        <v>176.33</v>
      </c>
      <c r="I667" s="12">
        <v>239.78</v>
      </c>
      <c r="J667" s="12">
        <v>900</v>
      </c>
      <c r="K667" s="12">
        <v>158697</v>
      </c>
      <c r="L667" s="12">
        <v>215802</v>
      </c>
      <c r="M667" s="17">
        <v>57105</v>
      </c>
      <c r="N667" s="17">
        <v>35.979999999999997</v>
      </c>
      <c r="O667" s="16" t="s">
        <v>33</v>
      </c>
      <c r="P667" s="12">
        <v>0.2712</v>
      </c>
      <c r="Q667" s="12">
        <v>1.47</v>
      </c>
    </row>
    <row r="668" spans="1:17" x14ac:dyDescent="0.35">
      <c r="A668" s="18" t="s">
        <v>1179</v>
      </c>
      <c r="B668" s="18" t="s">
        <v>1180</v>
      </c>
      <c r="C668" s="19" t="s">
        <v>83</v>
      </c>
      <c r="D668" s="18" t="s">
        <v>84</v>
      </c>
      <c r="E668" s="20" t="s">
        <v>55</v>
      </c>
      <c r="F668" s="21" t="s">
        <v>31</v>
      </c>
      <c r="G668" s="18" t="s">
        <v>32</v>
      </c>
      <c r="H668" s="18">
        <v>329.48</v>
      </c>
      <c r="I668" s="18">
        <v>426.97</v>
      </c>
      <c r="J668" s="18">
        <v>853</v>
      </c>
      <c r="K668" s="18">
        <v>281046.44</v>
      </c>
      <c r="L668" s="18">
        <v>364205.41</v>
      </c>
      <c r="M668" s="22">
        <v>83158.97</v>
      </c>
      <c r="N668" s="22">
        <v>29.59</v>
      </c>
      <c r="O668" s="23" t="s">
        <v>33</v>
      </c>
      <c r="P668" s="18">
        <v>0.50439999999999996</v>
      </c>
      <c r="Q668" s="18">
        <v>0.86</v>
      </c>
    </row>
    <row r="669" spans="1:17" x14ac:dyDescent="0.35">
      <c r="A669" s="12" t="s">
        <v>1181</v>
      </c>
      <c r="B669" s="12" t="s">
        <v>288</v>
      </c>
      <c r="C669" s="13" t="s">
        <v>53</v>
      </c>
      <c r="D669" s="12" t="s">
        <v>54</v>
      </c>
      <c r="E669" s="14" t="s">
        <v>55</v>
      </c>
      <c r="F669" s="15" t="s">
        <v>31</v>
      </c>
      <c r="G669" s="12" t="s">
        <v>32</v>
      </c>
      <c r="H669" s="12">
        <v>99.62</v>
      </c>
      <c r="I669" s="12">
        <v>96.72</v>
      </c>
      <c r="J669" s="12">
        <v>807</v>
      </c>
      <c r="K669" s="12">
        <v>80393.34</v>
      </c>
      <c r="L669" s="12">
        <v>78053.039999999994</v>
      </c>
      <c r="M669" s="16">
        <v>-2340.3000000000002</v>
      </c>
      <c r="N669" s="16">
        <v>-2.91</v>
      </c>
      <c r="O669" s="17" t="s">
        <v>25</v>
      </c>
      <c r="P669" s="12">
        <v>0.4022</v>
      </c>
      <c r="Q669" s="12">
        <v>1.68</v>
      </c>
    </row>
    <row r="670" spans="1:17" x14ac:dyDescent="0.35">
      <c r="A670" s="18" t="s">
        <v>1182</v>
      </c>
      <c r="B670" s="18" t="s">
        <v>1183</v>
      </c>
      <c r="C670" s="19" t="s">
        <v>28</v>
      </c>
      <c r="D670" s="18" t="s">
        <v>29</v>
      </c>
      <c r="E670" s="20" t="s">
        <v>30</v>
      </c>
      <c r="F670" s="21" t="s">
        <v>23</v>
      </c>
      <c r="G670" s="18" t="s">
        <v>32</v>
      </c>
      <c r="H670" s="18">
        <v>225.21</v>
      </c>
      <c r="I670" s="18">
        <v>302.31</v>
      </c>
      <c r="J670" s="18">
        <v>2175</v>
      </c>
      <c r="K670" s="18">
        <v>489831.75</v>
      </c>
      <c r="L670" s="18">
        <v>657524.25</v>
      </c>
      <c r="M670" s="22">
        <v>167692.5</v>
      </c>
      <c r="N670" s="22">
        <v>34.229999999999997</v>
      </c>
      <c r="O670" s="23" t="s">
        <v>33</v>
      </c>
      <c r="P670" s="18">
        <v>0.15260000000000001</v>
      </c>
      <c r="Q670" s="18">
        <v>1.1399999999999999</v>
      </c>
    </row>
    <row r="671" spans="1:17" x14ac:dyDescent="0.35">
      <c r="A671" s="12" t="s">
        <v>1184</v>
      </c>
      <c r="B671" s="12" t="s">
        <v>1185</v>
      </c>
      <c r="C671" s="13" t="s">
        <v>83</v>
      </c>
      <c r="D671" s="12" t="s">
        <v>84</v>
      </c>
      <c r="E671" s="14" t="s">
        <v>55</v>
      </c>
      <c r="F671" s="15" t="s">
        <v>98</v>
      </c>
      <c r="G671" s="12" t="s">
        <v>65</v>
      </c>
      <c r="H671" s="12">
        <v>412</v>
      </c>
      <c r="I671" s="12">
        <v>442.53</v>
      </c>
      <c r="J671" s="12">
        <v>1426</v>
      </c>
      <c r="K671" s="12">
        <v>587512</v>
      </c>
      <c r="L671" s="12">
        <v>631047.78</v>
      </c>
      <c r="M671" s="17">
        <v>43535.78</v>
      </c>
      <c r="N671" s="17">
        <v>7.41</v>
      </c>
      <c r="O671" s="17" t="s">
        <v>25</v>
      </c>
      <c r="P671" s="12">
        <v>0.14680000000000001</v>
      </c>
      <c r="Q671" s="12">
        <v>1.07</v>
      </c>
    </row>
    <row r="672" spans="1:17" x14ac:dyDescent="0.35">
      <c r="A672" s="18" t="s">
        <v>1186</v>
      </c>
      <c r="B672" s="18" t="s">
        <v>606</v>
      </c>
      <c r="C672" s="19" t="s">
        <v>103</v>
      </c>
      <c r="D672" s="18" t="s">
        <v>104</v>
      </c>
      <c r="E672" s="20" t="s">
        <v>22</v>
      </c>
      <c r="F672" s="21" t="s">
        <v>23</v>
      </c>
      <c r="G672" s="18" t="s">
        <v>24</v>
      </c>
      <c r="H672" s="18">
        <v>278.66000000000003</v>
      </c>
      <c r="I672" s="18">
        <v>436.27</v>
      </c>
      <c r="J672" s="18">
        <v>3709</v>
      </c>
      <c r="K672" s="18">
        <v>1033549.94</v>
      </c>
      <c r="L672" s="18">
        <v>1618125.43</v>
      </c>
      <c r="M672" s="22">
        <v>584575.49</v>
      </c>
      <c r="N672" s="22">
        <v>56.56</v>
      </c>
      <c r="O672" s="23" t="s">
        <v>33</v>
      </c>
      <c r="P672" s="18">
        <v>0.20630000000000001</v>
      </c>
      <c r="Q672" s="18">
        <v>1.07</v>
      </c>
    </row>
    <row r="673" spans="1:17" x14ac:dyDescent="0.35">
      <c r="A673" s="12" t="s">
        <v>1187</v>
      </c>
      <c r="B673" s="12" t="s">
        <v>1083</v>
      </c>
      <c r="C673" s="13" t="s">
        <v>115</v>
      </c>
      <c r="D673" s="12" t="s">
        <v>116</v>
      </c>
      <c r="E673" s="14" t="s">
        <v>55</v>
      </c>
      <c r="F673" s="15" t="s">
        <v>62</v>
      </c>
      <c r="G673" s="12" t="s">
        <v>32</v>
      </c>
      <c r="H673" s="12">
        <v>714.1</v>
      </c>
      <c r="I673" s="12">
        <v>949.99</v>
      </c>
      <c r="J673" s="12">
        <v>3632</v>
      </c>
      <c r="K673" s="12">
        <v>2593611.2000000002</v>
      </c>
      <c r="L673" s="12">
        <v>3450363.68</v>
      </c>
      <c r="M673" s="17">
        <v>856752.48</v>
      </c>
      <c r="N673" s="17">
        <v>33.03</v>
      </c>
      <c r="O673" s="16" t="s">
        <v>33</v>
      </c>
      <c r="P673" s="12">
        <v>0.51239999999999997</v>
      </c>
      <c r="Q673" s="12">
        <v>1.46</v>
      </c>
    </row>
    <row r="674" spans="1:17" x14ac:dyDescent="0.35">
      <c r="A674" s="18" t="s">
        <v>1188</v>
      </c>
      <c r="B674" s="18" t="s">
        <v>710</v>
      </c>
      <c r="C674" s="19" t="s">
        <v>20</v>
      </c>
      <c r="D674" s="18" t="s">
        <v>21</v>
      </c>
      <c r="E674" s="20" t="s">
        <v>22</v>
      </c>
      <c r="F674" s="21" t="s">
        <v>31</v>
      </c>
      <c r="G674" s="18" t="s">
        <v>32</v>
      </c>
      <c r="H674" s="18">
        <v>640.96</v>
      </c>
      <c r="I674" s="18">
        <v>912.77</v>
      </c>
      <c r="J674" s="18">
        <v>4780</v>
      </c>
      <c r="K674" s="18">
        <v>3063788.8</v>
      </c>
      <c r="L674" s="18">
        <v>4363040.5999999996</v>
      </c>
      <c r="M674" s="22">
        <v>1299251.8</v>
      </c>
      <c r="N674" s="22">
        <v>42.41</v>
      </c>
      <c r="O674" s="23" t="s">
        <v>33</v>
      </c>
      <c r="P674" s="18">
        <v>0.12809999999999999</v>
      </c>
      <c r="Q674" s="18">
        <v>1.2</v>
      </c>
    </row>
    <row r="675" spans="1:17" x14ac:dyDescent="0.35">
      <c r="A675" s="12" t="s">
        <v>1189</v>
      </c>
      <c r="B675" s="12" t="s">
        <v>389</v>
      </c>
      <c r="C675" s="13" t="s">
        <v>178</v>
      </c>
      <c r="D675" s="12" t="s">
        <v>179</v>
      </c>
      <c r="E675" s="14" t="s">
        <v>22</v>
      </c>
      <c r="F675" s="15" t="s">
        <v>98</v>
      </c>
      <c r="G675" s="12" t="s">
        <v>32</v>
      </c>
      <c r="H675" s="12">
        <v>185.5</v>
      </c>
      <c r="I675" s="12">
        <v>280.7</v>
      </c>
      <c r="J675" s="12">
        <v>1341</v>
      </c>
      <c r="K675" s="12">
        <v>248755.5</v>
      </c>
      <c r="L675" s="12">
        <v>376418.7</v>
      </c>
      <c r="M675" s="17">
        <v>127663.2</v>
      </c>
      <c r="N675" s="17">
        <v>51.32</v>
      </c>
      <c r="O675" s="16" t="s">
        <v>33</v>
      </c>
      <c r="P675" s="12">
        <v>0.36709999999999998</v>
      </c>
      <c r="Q675" s="12">
        <v>1.22</v>
      </c>
    </row>
    <row r="676" spans="1:17" x14ac:dyDescent="0.35">
      <c r="A676" s="18" t="s">
        <v>1190</v>
      </c>
      <c r="B676" s="18" t="s">
        <v>959</v>
      </c>
      <c r="C676" s="19" t="s">
        <v>115</v>
      </c>
      <c r="D676" s="18" t="s">
        <v>116</v>
      </c>
      <c r="E676" s="20" t="s">
        <v>55</v>
      </c>
      <c r="F676" s="21" t="s">
        <v>38</v>
      </c>
      <c r="G676" s="18" t="s">
        <v>32</v>
      </c>
      <c r="H676" s="18">
        <v>789.39</v>
      </c>
      <c r="I676" s="18">
        <v>696.49</v>
      </c>
      <c r="J676" s="18">
        <v>674</v>
      </c>
      <c r="K676" s="18">
        <v>532048.86</v>
      </c>
      <c r="L676" s="18">
        <v>469434.26</v>
      </c>
      <c r="M676" s="23">
        <v>-62614.6</v>
      </c>
      <c r="N676" s="23">
        <v>-11.77</v>
      </c>
      <c r="O676" s="24" t="s">
        <v>45</v>
      </c>
      <c r="P676" s="18">
        <v>0.53029999999999999</v>
      </c>
      <c r="Q676" s="18">
        <v>1.58</v>
      </c>
    </row>
    <row r="677" spans="1:17" x14ac:dyDescent="0.35">
      <c r="A677" s="12" t="s">
        <v>1191</v>
      </c>
      <c r="B677" s="12" t="s">
        <v>489</v>
      </c>
      <c r="C677" s="13" t="s">
        <v>115</v>
      </c>
      <c r="D677" s="12" t="s">
        <v>116</v>
      </c>
      <c r="E677" s="14" t="s">
        <v>55</v>
      </c>
      <c r="F677" s="15" t="s">
        <v>98</v>
      </c>
      <c r="G677" s="12" t="s">
        <v>65</v>
      </c>
      <c r="H677" s="12">
        <v>756.74</v>
      </c>
      <c r="I677" s="12">
        <v>1000.86</v>
      </c>
      <c r="J677" s="12">
        <v>2580</v>
      </c>
      <c r="K677" s="12">
        <v>1952389.2</v>
      </c>
      <c r="L677" s="12">
        <v>2582218.7999999998</v>
      </c>
      <c r="M677" s="17">
        <v>629829.6</v>
      </c>
      <c r="N677" s="17">
        <v>32.26</v>
      </c>
      <c r="O677" s="16" t="s">
        <v>33</v>
      </c>
      <c r="P677" s="12">
        <v>0.5323</v>
      </c>
      <c r="Q677" s="12">
        <v>0.71</v>
      </c>
    </row>
    <row r="678" spans="1:17" x14ac:dyDescent="0.35">
      <c r="A678" s="18" t="s">
        <v>1192</v>
      </c>
      <c r="B678" s="18" t="s">
        <v>41</v>
      </c>
      <c r="C678" s="19" t="s">
        <v>36</v>
      </c>
      <c r="D678" s="18" t="s">
        <v>37</v>
      </c>
      <c r="E678" s="20" t="s">
        <v>30</v>
      </c>
      <c r="F678" s="21" t="s">
        <v>38</v>
      </c>
      <c r="G678" s="18" t="s">
        <v>32</v>
      </c>
      <c r="H678" s="18">
        <v>219.31</v>
      </c>
      <c r="I678" s="18">
        <v>220.11</v>
      </c>
      <c r="J678" s="18">
        <v>2475</v>
      </c>
      <c r="K678" s="18">
        <v>542792.25</v>
      </c>
      <c r="L678" s="18">
        <v>544772.25</v>
      </c>
      <c r="M678" s="22">
        <v>1980</v>
      </c>
      <c r="N678" s="22">
        <v>0.36</v>
      </c>
      <c r="O678" s="22" t="s">
        <v>25</v>
      </c>
      <c r="P678" s="18">
        <v>0.13689999999999999</v>
      </c>
      <c r="Q678" s="18">
        <v>1.06</v>
      </c>
    </row>
    <row r="679" spans="1:17" x14ac:dyDescent="0.35">
      <c r="A679" s="12" t="s">
        <v>1193</v>
      </c>
      <c r="B679" s="12" t="s">
        <v>1147</v>
      </c>
      <c r="C679" s="13" t="s">
        <v>95</v>
      </c>
      <c r="D679" s="12" t="s">
        <v>96</v>
      </c>
      <c r="E679" s="14" t="s">
        <v>97</v>
      </c>
      <c r="F679" s="15" t="s">
        <v>31</v>
      </c>
      <c r="G679" s="12" t="s">
        <v>32</v>
      </c>
      <c r="H679" s="12">
        <v>219.11</v>
      </c>
      <c r="I679" s="12">
        <v>328.59</v>
      </c>
      <c r="J679" s="12">
        <v>3043</v>
      </c>
      <c r="K679" s="12">
        <v>666751.73</v>
      </c>
      <c r="L679" s="12">
        <v>999899.37</v>
      </c>
      <c r="M679" s="17">
        <v>333147.64</v>
      </c>
      <c r="N679" s="17">
        <v>49.97</v>
      </c>
      <c r="O679" s="16" t="s">
        <v>33</v>
      </c>
      <c r="P679" s="12">
        <v>0.30830000000000002</v>
      </c>
      <c r="Q679" s="12">
        <v>0.83</v>
      </c>
    </row>
    <row r="680" spans="1:17" x14ac:dyDescent="0.35">
      <c r="A680" s="18" t="s">
        <v>1194</v>
      </c>
      <c r="B680" s="18" t="s">
        <v>1180</v>
      </c>
      <c r="C680" s="19" t="s">
        <v>103</v>
      </c>
      <c r="D680" s="18" t="s">
        <v>104</v>
      </c>
      <c r="E680" s="20" t="s">
        <v>22</v>
      </c>
      <c r="F680" s="21" t="s">
        <v>62</v>
      </c>
      <c r="G680" s="18" t="s">
        <v>32</v>
      </c>
      <c r="H680" s="18">
        <v>318.97000000000003</v>
      </c>
      <c r="I680" s="18">
        <v>294.76</v>
      </c>
      <c r="J680" s="18">
        <v>2053</v>
      </c>
      <c r="K680" s="18">
        <v>654845.41</v>
      </c>
      <c r="L680" s="18">
        <v>605142.28</v>
      </c>
      <c r="M680" s="23">
        <v>-49703.13</v>
      </c>
      <c r="N680" s="23">
        <v>-7.59</v>
      </c>
      <c r="O680" s="22" t="s">
        <v>25</v>
      </c>
      <c r="P680" s="18">
        <v>0.35239999999999999</v>
      </c>
      <c r="Q680" s="18">
        <v>0.97</v>
      </c>
    </row>
    <row r="681" spans="1:17" x14ac:dyDescent="0.35">
      <c r="A681" s="12" t="s">
        <v>1195</v>
      </c>
      <c r="B681" s="12" t="s">
        <v>1196</v>
      </c>
      <c r="C681" s="13" t="s">
        <v>36</v>
      </c>
      <c r="D681" s="12" t="s">
        <v>37</v>
      </c>
      <c r="E681" s="14" t="s">
        <v>30</v>
      </c>
      <c r="F681" s="15" t="s">
        <v>31</v>
      </c>
      <c r="G681" s="12" t="s">
        <v>32</v>
      </c>
      <c r="H681" s="12">
        <v>182.03</v>
      </c>
      <c r="I681" s="12">
        <v>260.57</v>
      </c>
      <c r="J681" s="12">
        <v>2879</v>
      </c>
      <c r="K681" s="12">
        <v>524064.37</v>
      </c>
      <c r="L681" s="12">
        <v>750181.03</v>
      </c>
      <c r="M681" s="17">
        <v>226116.66</v>
      </c>
      <c r="N681" s="17">
        <v>43.15</v>
      </c>
      <c r="O681" s="16" t="s">
        <v>33</v>
      </c>
      <c r="P681" s="12">
        <v>0.1384</v>
      </c>
      <c r="Q681" s="12">
        <v>0.74</v>
      </c>
    </row>
    <row r="682" spans="1:17" x14ac:dyDescent="0.35">
      <c r="A682" s="18" t="s">
        <v>1197</v>
      </c>
      <c r="B682" s="18" t="s">
        <v>643</v>
      </c>
      <c r="C682" s="19" t="s">
        <v>72</v>
      </c>
      <c r="D682" s="18" t="s">
        <v>73</v>
      </c>
      <c r="E682" s="20" t="s">
        <v>74</v>
      </c>
      <c r="F682" s="21" t="s">
        <v>62</v>
      </c>
      <c r="G682" s="18" t="s">
        <v>32</v>
      </c>
      <c r="H682" s="18">
        <v>507.35</v>
      </c>
      <c r="I682" s="18">
        <v>459.56</v>
      </c>
      <c r="J682" s="18">
        <v>2008</v>
      </c>
      <c r="K682" s="18">
        <v>1018758.8</v>
      </c>
      <c r="L682" s="18">
        <v>922796.48</v>
      </c>
      <c r="M682" s="23">
        <v>-95962.32</v>
      </c>
      <c r="N682" s="23">
        <v>-9.42</v>
      </c>
      <c r="O682" s="24" t="s">
        <v>45</v>
      </c>
      <c r="P682" s="18">
        <v>0.18090000000000001</v>
      </c>
      <c r="Q682" s="18">
        <v>1.38</v>
      </c>
    </row>
    <row r="683" spans="1:17" x14ac:dyDescent="0.35">
      <c r="A683" s="12" t="s">
        <v>1198</v>
      </c>
      <c r="B683" s="12" t="s">
        <v>238</v>
      </c>
      <c r="C683" s="13" t="s">
        <v>115</v>
      </c>
      <c r="D683" s="12" t="s">
        <v>116</v>
      </c>
      <c r="E683" s="14" t="s">
        <v>55</v>
      </c>
      <c r="F683" s="15" t="s">
        <v>23</v>
      </c>
      <c r="G683" s="12" t="s">
        <v>32</v>
      </c>
      <c r="H683" s="12">
        <v>666.36</v>
      </c>
      <c r="I683" s="12">
        <v>881.5</v>
      </c>
      <c r="J683" s="12">
        <v>1169</v>
      </c>
      <c r="K683" s="12">
        <v>778974.84</v>
      </c>
      <c r="L683" s="12">
        <v>1030473.5</v>
      </c>
      <c r="M683" s="17">
        <v>251498.66</v>
      </c>
      <c r="N683" s="17">
        <v>32.29</v>
      </c>
      <c r="O683" s="16" t="s">
        <v>33</v>
      </c>
      <c r="P683" s="12">
        <v>0.50900000000000001</v>
      </c>
      <c r="Q683" s="12">
        <v>1.58</v>
      </c>
    </row>
    <row r="684" spans="1:17" x14ac:dyDescent="0.35">
      <c r="A684" s="18" t="s">
        <v>1199</v>
      </c>
      <c r="B684" s="18" t="s">
        <v>181</v>
      </c>
      <c r="C684" s="19" t="s">
        <v>20</v>
      </c>
      <c r="D684" s="18" t="s">
        <v>21</v>
      </c>
      <c r="E684" s="20" t="s">
        <v>22</v>
      </c>
      <c r="F684" s="21" t="s">
        <v>62</v>
      </c>
      <c r="G684" s="18" t="s">
        <v>32</v>
      </c>
      <c r="H684" s="18">
        <v>657.2</v>
      </c>
      <c r="I684" s="18">
        <v>627.25</v>
      </c>
      <c r="J684" s="18">
        <v>623</v>
      </c>
      <c r="K684" s="18">
        <v>409435.6</v>
      </c>
      <c r="L684" s="18">
        <v>390776.75</v>
      </c>
      <c r="M684" s="23">
        <v>-18658.849999999999</v>
      </c>
      <c r="N684" s="23">
        <v>-4.5599999999999996</v>
      </c>
      <c r="O684" s="22" t="s">
        <v>25</v>
      </c>
      <c r="P684" s="18">
        <v>0.33379999999999999</v>
      </c>
      <c r="Q684" s="18">
        <v>1.56</v>
      </c>
    </row>
    <row r="685" spans="1:17" x14ac:dyDescent="0.35">
      <c r="A685" s="12" t="s">
        <v>1200</v>
      </c>
      <c r="B685" s="12" t="s">
        <v>1201</v>
      </c>
      <c r="C685" s="13" t="s">
        <v>150</v>
      </c>
      <c r="D685" s="12" t="s">
        <v>151</v>
      </c>
      <c r="E685" s="14" t="s">
        <v>55</v>
      </c>
      <c r="F685" s="15" t="s">
        <v>38</v>
      </c>
      <c r="G685" s="12" t="s">
        <v>39</v>
      </c>
      <c r="H685" s="12">
        <v>169.49</v>
      </c>
      <c r="I685" s="12">
        <v>181.66</v>
      </c>
      <c r="J685" s="12">
        <v>2863</v>
      </c>
      <c r="K685" s="12">
        <v>485249.87</v>
      </c>
      <c r="L685" s="12">
        <v>520092.58</v>
      </c>
      <c r="M685" s="17">
        <v>34842.71</v>
      </c>
      <c r="N685" s="17">
        <v>7.18</v>
      </c>
      <c r="O685" s="17" t="s">
        <v>25</v>
      </c>
      <c r="P685" s="12">
        <v>0.41170000000000001</v>
      </c>
      <c r="Q685" s="12">
        <v>0.99</v>
      </c>
    </row>
    <row r="686" spans="1:17" x14ac:dyDescent="0.35">
      <c r="A686" s="18" t="s">
        <v>1202</v>
      </c>
      <c r="B686" s="18" t="s">
        <v>421</v>
      </c>
      <c r="C686" s="19" t="s">
        <v>28</v>
      </c>
      <c r="D686" s="18" t="s">
        <v>29</v>
      </c>
      <c r="E686" s="20" t="s">
        <v>30</v>
      </c>
      <c r="F686" s="21" t="s">
        <v>98</v>
      </c>
      <c r="G686" s="18" t="s">
        <v>32</v>
      </c>
      <c r="H686" s="18">
        <v>259.02</v>
      </c>
      <c r="I686" s="18">
        <v>335.47</v>
      </c>
      <c r="J686" s="18">
        <v>1846</v>
      </c>
      <c r="K686" s="18">
        <v>478150.92</v>
      </c>
      <c r="L686" s="18">
        <v>619277.62</v>
      </c>
      <c r="M686" s="22">
        <v>141126.70000000001</v>
      </c>
      <c r="N686" s="22">
        <v>29.52</v>
      </c>
      <c r="O686" s="23" t="s">
        <v>33</v>
      </c>
      <c r="P686" s="18">
        <v>0.26429999999999998</v>
      </c>
      <c r="Q686" s="18">
        <v>0.74</v>
      </c>
    </row>
    <row r="687" spans="1:17" x14ac:dyDescent="0.35">
      <c r="A687" s="12" t="s">
        <v>1203</v>
      </c>
      <c r="B687" s="12" t="s">
        <v>627</v>
      </c>
      <c r="C687" s="13" t="s">
        <v>87</v>
      </c>
      <c r="D687" s="12" t="s">
        <v>88</v>
      </c>
      <c r="E687" s="14" t="s">
        <v>22</v>
      </c>
      <c r="F687" s="15" t="s">
        <v>98</v>
      </c>
      <c r="G687" s="12" t="s">
        <v>32</v>
      </c>
      <c r="H687" s="12">
        <v>314.83</v>
      </c>
      <c r="I687" s="12">
        <v>330.75</v>
      </c>
      <c r="J687" s="12">
        <v>4633</v>
      </c>
      <c r="K687" s="12">
        <v>1458607.39</v>
      </c>
      <c r="L687" s="12">
        <v>1532364.75</v>
      </c>
      <c r="M687" s="17">
        <v>73757.36</v>
      </c>
      <c r="N687" s="17">
        <v>5.0599999999999996</v>
      </c>
      <c r="O687" s="17" t="s">
        <v>25</v>
      </c>
      <c r="P687" s="12">
        <v>0.37030000000000002</v>
      </c>
      <c r="Q687" s="12">
        <v>0.76</v>
      </c>
    </row>
    <row r="688" spans="1:17" x14ac:dyDescent="0.35">
      <c r="A688" s="18" t="s">
        <v>1204</v>
      </c>
      <c r="B688" s="18" t="s">
        <v>1205</v>
      </c>
      <c r="C688" s="19" t="s">
        <v>53</v>
      </c>
      <c r="D688" s="18" t="s">
        <v>54</v>
      </c>
      <c r="E688" s="20" t="s">
        <v>55</v>
      </c>
      <c r="F688" s="21" t="s">
        <v>31</v>
      </c>
      <c r="G688" s="18" t="s">
        <v>32</v>
      </c>
      <c r="H688" s="18">
        <v>78.680000000000007</v>
      </c>
      <c r="I688" s="18">
        <v>69.64</v>
      </c>
      <c r="J688" s="18">
        <v>4089</v>
      </c>
      <c r="K688" s="18">
        <v>321722.52</v>
      </c>
      <c r="L688" s="18">
        <v>284757.96000000002</v>
      </c>
      <c r="M688" s="23">
        <v>-36964.559999999998</v>
      </c>
      <c r="N688" s="23">
        <v>-11.49</v>
      </c>
      <c r="O688" s="24" t="s">
        <v>45</v>
      </c>
      <c r="P688" s="18">
        <v>0.51819999999999999</v>
      </c>
      <c r="Q688" s="18">
        <v>1.45</v>
      </c>
    </row>
    <row r="689" spans="1:17" x14ac:dyDescent="0.35">
      <c r="A689" s="12" t="s">
        <v>1206</v>
      </c>
      <c r="B689" s="12" t="s">
        <v>446</v>
      </c>
      <c r="C689" s="13" t="s">
        <v>28</v>
      </c>
      <c r="D689" s="12" t="s">
        <v>29</v>
      </c>
      <c r="E689" s="14" t="s">
        <v>30</v>
      </c>
      <c r="F689" s="15" t="s">
        <v>38</v>
      </c>
      <c r="G689" s="12" t="s">
        <v>32</v>
      </c>
      <c r="H689" s="12">
        <v>218.84</v>
      </c>
      <c r="I689" s="12">
        <v>290.58999999999997</v>
      </c>
      <c r="J689" s="12">
        <v>1139</v>
      </c>
      <c r="K689" s="12">
        <v>249258.76</v>
      </c>
      <c r="L689" s="12">
        <v>330982.01</v>
      </c>
      <c r="M689" s="17">
        <v>81723.25</v>
      </c>
      <c r="N689" s="17">
        <v>32.79</v>
      </c>
      <c r="O689" s="16" t="s">
        <v>33</v>
      </c>
      <c r="P689" s="12">
        <v>0.34489999999999998</v>
      </c>
      <c r="Q689" s="12">
        <v>1.0900000000000001</v>
      </c>
    </row>
    <row r="690" spans="1:17" x14ac:dyDescent="0.35">
      <c r="A690" s="18" t="s">
        <v>1207</v>
      </c>
      <c r="B690" s="18" t="s">
        <v>1208</v>
      </c>
      <c r="C690" s="19" t="s">
        <v>170</v>
      </c>
      <c r="D690" s="18" t="s">
        <v>171</v>
      </c>
      <c r="E690" s="20" t="s">
        <v>97</v>
      </c>
      <c r="F690" s="21" t="s">
        <v>62</v>
      </c>
      <c r="G690" s="18" t="s">
        <v>32</v>
      </c>
      <c r="H690" s="18">
        <v>154.44999999999999</v>
      </c>
      <c r="I690" s="18">
        <v>202.09</v>
      </c>
      <c r="J690" s="18">
        <v>1574</v>
      </c>
      <c r="K690" s="18">
        <v>243104.3</v>
      </c>
      <c r="L690" s="18">
        <v>318089.65999999997</v>
      </c>
      <c r="M690" s="22">
        <v>74985.36</v>
      </c>
      <c r="N690" s="22">
        <v>30.84</v>
      </c>
      <c r="O690" s="23" t="s">
        <v>33</v>
      </c>
      <c r="P690" s="18">
        <v>0.1578</v>
      </c>
      <c r="Q690" s="18">
        <v>1.59</v>
      </c>
    </row>
    <row r="691" spans="1:17" x14ac:dyDescent="0.35">
      <c r="A691" s="12" t="s">
        <v>1209</v>
      </c>
      <c r="B691" s="12" t="s">
        <v>610</v>
      </c>
      <c r="C691" s="13" t="s">
        <v>137</v>
      </c>
      <c r="D691" s="12" t="s">
        <v>138</v>
      </c>
      <c r="E691" s="14" t="s">
        <v>50</v>
      </c>
      <c r="F691" s="15" t="s">
        <v>31</v>
      </c>
      <c r="G691" s="12" t="s">
        <v>32</v>
      </c>
      <c r="H691" s="12">
        <v>96.67</v>
      </c>
      <c r="I691" s="12">
        <v>93.02</v>
      </c>
      <c r="J691" s="12">
        <v>4668</v>
      </c>
      <c r="K691" s="12">
        <v>451255.56</v>
      </c>
      <c r="L691" s="12">
        <v>434217.36</v>
      </c>
      <c r="M691" s="16">
        <v>-17038.2</v>
      </c>
      <c r="N691" s="16">
        <v>-3.78</v>
      </c>
      <c r="O691" s="17" t="s">
        <v>25</v>
      </c>
      <c r="P691" s="12">
        <v>0.34799999999999998</v>
      </c>
      <c r="Q691" s="12">
        <v>0.71</v>
      </c>
    </row>
    <row r="692" spans="1:17" x14ac:dyDescent="0.35">
      <c r="A692" s="18" t="s">
        <v>1210</v>
      </c>
      <c r="B692" s="18" t="s">
        <v>94</v>
      </c>
      <c r="C692" s="19" t="s">
        <v>48</v>
      </c>
      <c r="D692" s="18" t="s">
        <v>49</v>
      </c>
      <c r="E692" s="20" t="s">
        <v>50</v>
      </c>
      <c r="F692" s="21" t="s">
        <v>38</v>
      </c>
      <c r="G692" s="18" t="s">
        <v>39</v>
      </c>
      <c r="H692" s="18">
        <v>60.64</v>
      </c>
      <c r="I692" s="18">
        <v>43</v>
      </c>
      <c r="J692" s="18">
        <v>1804</v>
      </c>
      <c r="K692" s="18">
        <v>109394.56</v>
      </c>
      <c r="L692" s="18">
        <v>77572</v>
      </c>
      <c r="M692" s="23">
        <v>-31822.560000000001</v>
      </c>
      <c r="N692" s="23">
        <v>-29.09</v>
      </c>
      <c r="O692" s="23" t="s">
        <v>33</v>
      </c>
      <c r="P692" s="18">
        <v>0.46250000000000002</v>
      </c>
      <c r="Q692" s="18">
        <v>1.42</v>
      </c>
    </row>
    <row r="693" spans="1:17" x14ac:dyDescent="0.35">
      <c r="A693" s="12" t="s">
        <v>1211</v>
      </c>
      <c r="B693" s="12" t="s">
        <v>1212</v>
      </c>
      <c r="C693" s="13" t="s">
        <v>115</v>
      </c>
      <c r="D693" s="12" t="s">
        <v>116</v>
      </c>
      <c r="E693" s="14" t="s">
        <v>55</v>
      </c>
      <c r="F693" s="15" t="s">
        <v>23</v>
      </c>
      <c r="G693" s="12" t="s">
        <v>32</v>
      </c>
      <c r="H693" s="12">
        <v>675.64</v>
      </c>
      <c r="I693" s="12">
        <v>766.81</v>
      </c>
      <c r="J693" s="12">
        <v>453</v>
      </c>
      <c r="K693" s="12">
        <v>306064.92</v>
      </c>
      <c r="L693" s="12">
        <v>347364.93</v>
      </c>
      <c r="M693" s="17">
        <v>41300.01</v>
      </c>
      <c r="N693" s="17">
        <v>13.49</v>
      </c>
      <c r="O693" s="25" t="s">
        <v>45</v>
      </c>
      <c r="P693" s="12">
        <v>0.21010000000000001</v>
      </c>
      <c r="Q693" s="12">
        <v>0.9</v>
      </c>
    </row>
    <row r="694" spans="1:17" x14ac:dyDescent="0.35">
      <c r="A694" s="18" t="s">
        <v>1213</v>
      </c>
      <c r="B694" s="18" t="s">
        <v>1135</v>
      </c>
      <c r="C694" s="19" t="s">
        <v>53</v>
      </c>
      <c r="D694" s="18" t="s">
        <v>54</v>
      </c>
      <c r="E694" s="20" t="s">
        <v>55</v>
      </c>
      <c r="F694" s="21" t="s">
        <v>31</v>
      </c>
      <c r="G694" s="18" t="s">
        <v>32</v>
      </c>
      <c r="H694" s="18">
        <v>101.47</v>
      </c>
      <c r="I694" s="18">
        <v>101.79</v>
      </c>
      <c r="J694" s="18">
        <v>529</v>
      </c>
      <c r="K694" s="18">
        <v>53677.63</v>
      </c>
      <c r="L694" s="18">
        <v>53846.91</v>
      </c>
      <c r="M694" s="22">
        <v>169.28</v>
      </c>
      <c r="N694" s="22">
        <v>0.32</v>
      </c>
      <c r="O694" s="22" t="s">
        <v>25</v>
      </c>
      <c r="P694" s="18">
        <v>0.45779999999999998</v>
      </c>
      <c r="Q694" s="18">
        <v>1.18</v>
      </c>
    </row>
    <row r="695" spans="1:17" x14ac:dyDescent="0.35">
      <c r="A695" s="12" t="s">
        <v>1214</v>
      </c>
      <c r="B695" s="12" t="s">
        <v>1215</v>
      </c>
      <c r="C695" s="13" t="s">
        <v>20</v>
      </c>
      <c r="D695" s="12" t="s">
        <v>21</v>
      </c>
      <c r="E695" s="14" t="s">
        <v>22</v>
      </c>
      <c r="F695" s="15" t="s">
        <v>38</v>
      </c>
      <c r="G695" s="12" t="s">
        <v>39</v>
      </c>
      <c r="H695" s="12">
        <v>614.36</v>
      </c>
      <c r="I695" s="12">
        <v>499.33</v>
      </c>
      <c r="J695" s="12">
        <v>4955</v>
      </c>
      <c r="K695" s="12">
        <v>3044153.8</v>
      </c>
      <c r="L695" s="12">
        <v>2474180.15</v>
      </c>
      <c r="M695" s="16">
        <v>-569973.65</v>
      </c>
      <c r="N695" s="16">
        <v>-18.72</v>
      </c>
      <c r="O695" s="25" t="s">
        <v>45</v>
      </c>
      <c r="P695" s="12">
        <v>0.44119999999999998</v>
      </c>
      <c r="Q695" s="12">
        <v>1.68</v>
      </c>
    </row>
    <row r="696" spans="1:17" x14ac:dyDescent="0.35">
      <c r="A696" s="18" t="s">
        <v>1216</v>
      </c>
      <c r="B696" s="18" t="s">
        <v>1217</v>
      </c>
      <c r="C696" s="19" t="s">
        <v>150</v>
      </c>
      <c r="D696" s="18" t="s">
        <v>151</v>
      </c>
      <c r="E696" s="20" t="s">
        <v>55</v>
      </c>
      <c r="F696" s="21" t="s">
        <v>23</v>
      </c>
      <c r="G696" s="18" t="s">
        <v>65</v>
      </c>
      <c r="H696" s="18">
        <v>142.78</v>
      </c>
      <c r="I696" s="18">
        <v>166.88</v>
      </c>
      <c r="J696" s="18">
        <v>903</v>
      </c>
      <c r="K696" s="18">
        <v>128930.34</v>
      </c>
      <c r="L696" s="18">
        <v>150692.64000000001</v>
      </c>
      <c r="M696" s="22">
        <v>21762.3</v>
      </c>
      <c r="N696" s="22">
        <v>16.88</v>
      </c>
      <c r="O696" s="24" t="s">
        <v>45</v>
      </c>
      <c r="P696" s="18">
        <v>0.20599999999999999</v>
      </c>
      <c r="Q696" s="18">
        <v>1.67</v>
      </c>
    </row>
    <row r="697" spans="1:17" x14ac:dyDescent="0.35">
      <c r="A697" s="12" t="s">
        <v>1218</v>
      </c>
      <c r="B697" s="12" t="s">
        <v>1219</v>
      </c>
      <c r="C697" s="13" t="s">
        <v>60</v>
      </c>
      <c r="D697" s="12" t="s">
        <v>61</v>
      </c>
      <c r="E697" s="14" t="s">
        <v>22</v>
      </c>
      <c r="F697" s="15" t="s">
        <v>31</v>
      </c>
      <c r="G697" s="12" t="s">
        <v>39</v>
      </c>
      <c r="H697" s="12">
        <v>125.09</v>
      </c>
      <c r="I697" s="12">
        <v>130.94999999999999</v>
      </c>
      <c r="J697" s="12">
        <v>3670</v>
      </c>
      <c r="K697" s="12">
        <v>459080.3</v>
      </c>
      <c r="L697" s="12">
        <v>480586.5</v>
      </c>
      <c r="M697" s="17">
        <v>21506.2</v>
      </c>
      <c r="N697" s="17">
        <v>4.68</v>
      </c>
      <c r="O697" s="17" t="s">
        <v>25</v>
      </c>
      <c r="P697" s="12">
        <v>0.31559999999999999</v>
      </c>
      <c r="Q697" s="12">
        <v>1.06</v>
      </c>
    </row>
    <row r="698" spans="1:17" x14ac:dyDescent="0.35">
      <c r="A698" s="18" t="s">
        <v>1220</v>
      </c>
      <c r="B698" s="18" t="s">
        <v>405</v>
      </c>
      <c r="C698" s="19" t="s">
        <v>87</v>
      </c>
      <c r="D698" s="18" t="s">
        <v>88</v>
      </c>
      <c r="E698" s="20" t="s">
        <v>22</v>
      </c>
      <c r="F698" s="21" t="s">
        <v>98</v>
      </c>
      <c r="G698" s="18" t="s">
        <v>39</v>
      </c>
      <c r="H698" s="18">
        <v>318.73</v>
      </c>
      <c r="I698" s="18">
        <v>216.26</v>
      </c>
      <c r="J698" s="18">
        <v>2309</v>
      </c>
      <c r="K698" s="18">
        <v>735947.57</v>
      </c>
      <c r="L698" s="18">
        <v>499344.34</v>
      </c>
      <c r="M698" s="23">
        <v>-236603.23</v>
      </c>
      <c r="N698" s="23">
        <v>-32.15</v>
      </c>
      <c r="O698" s="23" t="s">
        <v>33</v>
      </c>
      <c r="P698" s="18">
        <v>0.41770000000000002</v>
      </c>
      <c r="Q698" s="18">
        <v>0.67</v>
      </c>
    </row>
    <row r="699" spans="1:17" x14ac:dyDescent="0.35">
      <c r="A699" s="12" t="s">
        <v>1221</v>
      </c>
      <c r="B699" s="12" t="s">
        <v>995</v>
      </c>
      <c r="C699" s="13" t="s">
        <v>87</v>
      </c>
      <c r="D699" s="12" t="s">
        <v>88</v>
      </c>
      <c r="E699" s="14" t="s">
        <v>22</v>
      </c>
      <c r="F699" s="15" t="s">
        <v>38</v>
      </c>
      <c r="G699" s="12" t="s">
        <v>39</v>
      </c>
      <c r="H699" s="12">
        <v>315.48</v>
      </c>
      <c r="I699" s="12">
        <v>245.46</v>
      </c>
      <c r="J699" s="12">
        <v>3526</v>
      </c>
      <c r="K699" s="12">
        <v>1112382.48</v>
      </c>
      <c r="L699" s="12">
        <v>865491.96</v>
      </c>
      <c r="M699" s="16">
        <v>-246890.52</v>
      </c>
      <c r="N699" s="16">
        <v>-22.19</v>
      </c>
      <c r="O699" s="16" t="s">
        <v>33</v>
      </c>
      <c r="P699" s="12">
        <v>0.50119999999999998</v>
      </c>
      <c r="Q699" s="12">
        <v>1.32</v>
      </c>
    </row>
    <row r="700" spans="1:17" x14ac:dyDescent="0.35">
      <c r="A700" s="18" t="s">
        <v>1222</v>
      </c>
      <c r="B700" s="18" t="s">
        <v>1223</v>
      </c>
      <c r="C700" s="19" t="s">
        <v>53</v>
      </c>
      <c r="D700" s="18" t="s">
        <v>54</v>
      </c>
      <c r="E700" s="20" t="s">
        <v>55</v>
      </c>
      <c r="F700" s="21" t="s">
        <v>31</v>
      </c>
      <c r="G700" s="18" t="s">
        <v>39</v>
      </c>
      <c r="H700" s="18">
        <v>99.64</v>
      </c>
      <c r="I700" s="18">
        <v>84.2</v>
      </c>
      <c r="J700" s="18">
        <v>3472</v>
      </c>
      <c r="K700" s="18">
        <v>345950.08</v>
      </c>
      <c r="L700" s="18">
        <v>292342.40000000002</v>
      </c>
      <c r="M700" s="23">
        <v>-53607.68</v>
      </c>
      <c r="N700" s="23">
        <v>-15.5</v>
      </c>
      <c r="O700" s="24" t="s">
        <v>45</v>
      </c>
      <c r="P700" s="18">
        <v>0.54810000000000003</v>
      </c>
      <c r="Q700" s="18">
        <v>1.31</v>
      </c>
    </row>
    <row r="701" spans="1:17" x14ac:dyDescent="0.35">
      <c r="A701" s="12" t="s">
        <v>1224</v>
      </c>
      <c r="B701" s="12" t="s">
        <v>1225</v>
      </c>
      <c r="C701" s="13" t="s">
        <v>119</v>
      </c>
      <c r="D701" s="12" t="s">
        <v>120</v>
      </c>
      <c r="E701" s="14" t="s">
        <v>44</v>
      </c>
      <c r="F701" s="15" t="s">
        <v>38</v>
      </c>
      <c r="G701" s="12" t="s">
        <v>32</v>
      </c>
      <c r="H701" s="12">
        <v>44.37</v>
      </c>
      <c r="I701" s="12">
        <v>52.53</v>
      </c>
      <c r="J701" s="12">
        <v>2120</v>
      </c>
      <c r="K701" s="12">
        <v>94064.4</v>
      </c>
      <c r="L701" s="12">
        <v>111363.6</v>
      </c>
      <c r="M701" s="17">
        <v>17299.2</v>
      </c>
      <c r="N701" s="17">
        <v>18.39</v>
      </c>
      <c r="O701" s="25" t="s">
        <v>45</v>
      </c>
      <c r="P701" s="12">
        <v>0.21560000000000001</v>
      </c>
      <c r="Q701" s="12">
        <v>1.71</v>
      </c>
    </row>
    <row r="702" spans="1:17" x14ac:dyDescent="0.35">
      <c r="A702" s="18" t="s">
        <v>1226</v>
      </c>
      <c r="B702" s="18" t="s">
        <v>1162</v>
      </c>
      <c r="C702" s="19" t="s">
        <v>87</v>
      </c>
      <c r="D702" s="18" t="s">
        <v>88</v>
      </c>
      <c r="E702" s="20" t="s">
        <v>22</v>
      </c>
      <c r="F702" s="21" t="s">
        <v>38</v>
      </c>
      <c r="G702" s="18" t="s">
        <v>32</v>
      </c>
      <c r="H702" s="18">
        <v>301.70999999999998</v>
      </c>
      <c r="I702" s="18">
        <v>364.91</v>
      </c>
      <c r="J702" s="18">
        <v>462</v>
      </c>
      <c r="K702" s="18">
        <v>139390.01999999999</v>
      </c>
      <c r="L702" s="18">
        <v>168588.42</v>
      </c>
      <c r="M702" s="22">
        <v>29198.400000000001</v>
      </c>
      <c r="N702" s="22">
        <v>20.95</v>
      </c>
      <c r="O702" s="24" t="s">
        <v>45</v>
      </c>
      <c r="P702" s="18">
        <v>0.45050000000000001</v>
      </c>
      <c r="Q702" s="18">
        <v>0.64</v>
      </c>
    </row>
    <row r="703" spans="1:17" x14ac:dyDescent="0.35">
      <c r="A703" s="12" t="s">
        <v>1227</v>
      </c>
      <c r="B703" s="12" t="s">
        <v>1228</v>
      </c>
      <c r="C703" s="13" t="s">
        <v>72</v>
      </c>
      <c r="D703" s="12" t="s">
        <v>73</v>
      </c>
      <c r="E703" s="14" t="s">
        <v>74</v>
      </c>
      <c r="F703" s="15" t="s">
        <v>31</v>
      </c>
      <c r="G703" s="12" t="s">
        <v>39</v>
      </c>
      <c r="H703" s="12">
        <v>449.36</v>
      </c>
      <c r="I703" s="12">
        <v>295.77999999999997</v>
      </c>
      <c r="J703" s="12">
        <v>3806</v>
      </c>
      <c r="K703" s="12">
        <v>1710264.16</v>
      </c>
      <c r="L703" s="12">
        <v>1125738.68</v>
      </c>
      <c r="M703" s="16">
        <v>-584525.48</v>
      </c>
      <c r="N703" s="16">
        <v>-34.18</v>
      </c>
      <c r="O703" s="16" t="s">
        <v>33</v>
      </c>
      <c r="P703" s="12">
        <v>0.44379999999999997</v>
      </c>
      <c r="Q703" s="12">
        <v>1.43</v>
      </c>
    </row>
    <row r="704" spans="1:17" x14ac:dyDescent="0.35">
      <c r="A704" s="18" t="s">
        <v>1229</v>
      </c>
      <c r="B704" s="18" t="s">
        <v>559</v>
      </c>
      <c r="C704" s="19" t="s">
        <v>42</v>
      </c>
      <c r="D704" s="18" t="s">
        <v>43</v>
      </c>
      <c r="E704" s="20" t="s">
        <v>44</v>
      </c>
      <c r="F704" s="21" t="s">
        <v>98</v>
      </c>
      <c r="G704" s="18" t="s">
        <v>32</v>
      </c>
      <c r="H704" s="18">
        <v>506.95</v>
      </c>
      <c r="I704" s="18">
        <v>800.61</v>
      </c>
      <c r="J704" s="18">
        <v>2523</v>
      </c>
      <c r="K704" s="18">
        <v>1279034.8500000001</v>
      </c>
      <c r="L704" s="18">
        <v>2019939.03</v>
      </c>
      <c r="M704" s="22">
        <v>740904.18</v>
      </c>
      <c r="N704" s="22">
        <v>57.93</v>
      </c>
      <c r="O704" s="23" t="s">
        <v>33</v>
      </c>
      <c r="P704" s="18">
        <v>0.1268</v>
      </c>
      <c r="Q704" s="18">
        <v>1.4</v>
      </c>
    </row>
    <row r="705" spans="1:17" x14ac:dyDescent="0.35">
      <c r="A705" s="12" t="s">
        <v>1230</v>
      </c>
      <c r="B705" s="12" t="s">
        <v>356</v>
      </c>
      <c r="C705" s="13" t="s">
        <v>170</v>
      </c>
      <c r="D705" s="12" t="s">
        <v>171</v>
      </c>
      <c r="E705" s="14" t="s">
        <v>97</v>
      </c>
      <c r="F705" s="15" t="s">
        <v>62</v>
      </c>
      <c r="G705" s="12" t="s">
        <v>39</v>
      </c>
      <c r="H705" s="12">
        <v>124.31</v>
      </c>
      <c r="I705" s="12">
        <v>103.08</v>
      </c>
      <c r="J705" s="12">
        <v>4881</v>
      </c>
      <c r="K705" s="12">
        <v>606757.11</v>
      </c>
      <c r="L705" s="12">
        <v>503133.48</v>
      </c>
      <c r="M705" s="16">
        <v>-103623.63</v>
      </c>
      <c r="N705" s="16">
        <v>-17.079999999999998</v>
      </c>
      <c r="O705" s="25" t="s">
        <v>45</v>
      </c>
      <c r="P705" s="12">
        <v>0.45190000000000002</v>
      </c>
      <c r="Q705" s="12">
        <v>1.65</v>
      </c>
    </row>
    <row r="706" spans="1:17" x14ac:dyDescent="0.35">
      <c r="A706" s="18" t="s">
        <v>1231</v>
      </c>
      <c r="B706" s="18" t="s">
        <v>1183</v>
      </c>
      <c r="C706" s="19" t="s">
        <v>77</v>
      </c>
      <c r="D706" s="18" t="s">
        <v>78</v>
      </c>
      <c r="E706" s="20" t="s">
        <v>44</v>
      </c>
      <c r="F706" s="21" t="s">
        <v>38</v>
      </c>
      <c r="G706" s="18" t="s">
        <v>65</v>
      </c>
      <c r="H706" s="18">
        <v>182.84</v>
      </c>
      <c r="I706" s="18">
        <v>169.95</v>
      </c>
      <c r="J706" s="18">
        <v>111</v>
      </c>
      <c r="K706" s="18">
        <v>20295.240000000002</v>
      </c>
      <c r="L706" s="18">
        <v>18864.45</v>
      </c>
      <c r="M706" s="23">
        <v>-1430.79</v>
      </c>
      <c r="N706" s="23">
        <v>-7.05</v>
      </c>
      <c r="O706" s="22" t="s">
        <v>25</v>
      </c>
      <c r="P706" s="18">
        <v>0.50419999999999998</v>
      </c>
      <c r="Q706" s="18">
        <v>1</v>
      </c>
    </row>
    <row r="707" spans="1:17" x14ac:dyDescent="0.35">
      <c r="A707" s="12" t="s">
        <v>1232</v>
      </c>
      <c r="B707" s="12" t="s">
        <v>1233</v>
      </c>
      <c r="C707" s="13" t="s">
        <v>103</v>
      </c>
      <c r="D707" s="12" t="s">
        <v>104</v>
      </c>
      <c r="E707" s="14" t="s">
        <v>22</v>
      </c>
      <c r="F707" s="15" t="s">
        <v>98</v>
      </c>
      <c r="G707" s="12" t="s">
        <v>32</v>
      </c>
      <c r="H707" s="12">
        <v>327.22000000000003</v>
      </c>
      <c r="I707" s="12">
        <v>335.4</v>
      </c>
      <c r="J707" s="12">
        <v>4543</v>
      </c>
      <c r="K707" s="12">
        <v>1486560.46</v>
      </c>
      <c r="L707" s="12">
        <v>1523722.2</v>
      </c>
      <c r="M707" s="17">
        <v>37161.74</v>
      </c>
      <c r="N707" s="17">
        <v>2.5</v>
      </c>
      <c r="O707" s="17" t="s">
        <v>25</v>
      </c>
      <c r="P707" s="12">
        <v>0.41439999999999999</v>
      </c>
      <c r="Q707" s="12">
        <v>1.34</v>
      </c>
    </row>
    <row r="708" spans="1:17" x14ac:dyDescent="0.35">
      <c r="A708" s="18" t="s">
        <v>1234</v>
      </c>
      <c r="B708" s="18" t="s">
        <v>1098</v>
      </c>
      <c r="C708" s="19" t="s">
        <v>215</v>
      </c>
      <c r="D708" s="18" t="s">
        <v>216</v>
      </c>
      <c r="E708" s="20" t="s">
        <v>50</v>
      </c>
      <c r="F708" s="21" t="s">
        <v>31</v>
      </c>
      <c r="G708" s="18" t="s">
        <v>65</v>
      </c>
      <c r="H708" s="18">
        <v>154.38</v>
      </c>
      <c r="I708" s="18">
        <v>186.14</v>
      </c>
      <c r="J708" s="18">
        <v>1009</v>
      </c>
      <c r="K708" s="18">
        <v>155769.42000000001</v>
      </c>
      <c r="L708" s="18">
        <v>187815.26</v>
      </c>
      <c r="M708" s="22">
        <v>32045.84</v>
      </c>
      <c r="N708" s="22">
        <v>20.57</v>
      </c>
      <c r="O708" s="24" t="s">
        <v>45</v>
      </c>
      <c r="P708" s="18">
        <v>0.1376</v>
      </c>
      <c r="Q708" s="18">
        <v>1.04</v>
      </c>
    </row>
    <row r="709" spans="1:17" x14ac:dyDescent="0.35">
      <c r="A709" s="12" t="s">
        <v>1235</v>
      </c>
      <c r="B709" s="12" t="s">
        <v>487</v>
      </c>
      <c r="C709" s="13" t="s">
        <v>36</v>
      </c>
      <c r="D709" s="12" t="s">
        <v>37</v>
      </c>
      <c r="E709" s="14" t="s">
        <v>30</v>
      </c>
      <c r="F709" s="15" t="s">
        <v>62</v>
      </c>
      <c r="G709" s="12" t="s">
        <v>32</v>
      </c>
      <c r="H709" s="12">
        <v>187.22</v>
      </c>
      <c r="I709" s="12">
        <v>208.65</v>
      </c>
      <c r="J709" s="12">
        <v>1777</v>
      </c>
      <c r="K709" s="12">
        <v>332689.94</v>
      </c>
      <c r="L709" s="12">
        <v>370771.05</v>
      </c>
      <c r="M709" s="17">
        <v>38081.11</v>
      </c>
      <c r="N709" s="17">
        <v>11.45</v>
      </c>
      <c r="O709" s="25" t="s">
        <v>45</v>
      </c>
      <c r="P709" s="12">
        <v>0.35199999999999998</v>
      </c>
      <c r="Q709" s="12">
        <v>1.38</v>
      </c>
    </row>
    <row r="710" spans="1:17" x14ac:dyDescent="0.35">
      <c r="A710" s="18" t="s">
        <v>1236</v>
      </c>
      <c r="B710" s="18" t="s">
        <v>1237</v>
      </c>
      <c r="C710" s="19" t="s">
        <v>28</v>
      </c>
      <c r="D710" s="18" t="s">
        <v>29</v>
      </c>
      <c r="E710" s="20" t="s">
        <v>30</v>
      </c>
      <c r="F710" s="21" t="s">
        <v>23</v>
      </c>
      <c r="G710" s="18" t="s">
        <v>39</v>
      </c>
      <c r="H710" s="18">
        <v>229.4</v>
      </c>
      <c r="I710" s="18">
        <v>170.44</v>
      </c>
      <c r="J710" s="18">
        <v>2725</v>
      </c>
      <c r="K710" s="18">
        <v>625115</v>
      </c>
      <c r="L710" s="18">
        <v>464449</v>
      </c>
      <c r="M710" s="23">
        <v>-160666</v>
      </c>
      <c r="N710" s="23">
        <v>-25.7</v>
      </c>
      <c r="O710" s="23" t="s">
        <v>33</v>
      </c>
      <c r="P710" s="18">
        <v>0.41249999999999998</v>
      </c>
      <c r="Q710" s="18">
        <v>0.93</v>
      </c>
    </row>
    <row r="711" spans="1:17" x14ac:dyDescent="0.35">
      <c r="A711" s="12" t="s">
        <v>1238</v>
      </c>
      <c r="B711" s="12" t="s">
        <v>379</v>
      </c>
      <c r="C711" s="13" t="s">
        <v>60</v>
      </c>
      <c r="D711" s="12" t="s">
        <v>61</v>
      </c>
      <c r="E711" s="14" t="s">
        <v>22</v>
      </c>
      <c r="F711" s="15" t="s">
        <v>38</v>
      </c>
      <c r="G711" s="12" t="s">
        <v>65</v>
      </c>
      <c r="H711" s="12">
        <v>140.06</v>
      </c>
      <c r="I711" s="12">
        <v>204.58</v>
      </c>
      <c r="J711" s="12">
        <v>4083</v>
      </c>
      <c r="K711" s="12">
        <v>571864.98</v>
      </c>
      <c r="L711" s="12">
        <v>835300.14</v>
      </c>
      <c r="M711" s="17">
        <v>263435.15999999997</v>
      </c>
      <c r="N711" s="17">
        <v>46.07</v>
      </c>
      <c r="O711" s="16" t="s">
        <v>33</v>
      </c>
      <c r="P711" s="12">
        <v>0.32219999999999999</v>
      </c>
      <c r="Q711" s="12">
        <v>1.24</v>
      </c>
    </row>
    <row r="712" spans="1:17" x14ac:dyDescent="0.35">
      <c r="A712" s="18" t="s">
        <v>1239</v>
      </c>
      <c r="B712" s="18" t="s">
        <v>1240</v>
      </c>
      <c r="C712" s="19" t="s">
        <v>36</v>
      </c>
      <c r="D712" s="18" t="s">
        <v>37</v>
      </c>
      <c r="E712" s="20" t="s">
        <v>30</v>
      </c>
      <c r="F712" s="21" t="s">
        <v>62</v>
      </c>
      <c r="G712" s="18" t="s">
        <v>39</v>
      </c>
      <c r="H712" s="18">
        <v>228.89</v>
      </c>
      <c r="I712" s="18">
        <v>241.45</v>
      </c>
      <c r="J712" s="18">
        <v>3115</v>
      </c>
      <c r="K712" s="18">
        <v>712992.35</v>
      </c>
      <c r="L712" s="18">
        <v>752116.75</v>
      </c>
      <c r="M712" s="22">
        <v>39124.400000000001</v>
      </c>
      <c r="N712" s="22">
        <v>5.49</v>
      </c>
      <c r="O712" s="22" t="s">
        <v>25</v>
      </c>
      <c r="P712" s="18">
        <v>0.46779999999999999</v>
      </c>
      <c r="Q712" s="18">
        <v>1.73</v>
      </c>
    </row>
    <row r="713" spans="1:17" x14ac:dyDescent="0.35">
      <c r="A713" s="12" t="s">
        <v>1241</v>
      </c>
      <c r="B713" s="12" t="s">
        <v>1242</v>
      </c>
      <c r="C713" s="13" t="s">
        <v>60</v>
      </c>
      <c r="D713" s="12" t="s">
        <v>61</v>
      </c>
      <c r="E713" s="14" t="s">
        <v>22</v>
      </c>
      <c r="F713" s="15" t="s">
        <v>31</v>
      </c>
      <c r="G713" s="12" t="s">
        <v>39</v>
      </c>
      <c r="H713" s="12">
        <v>135.41</v>
      </c>
      <c r="I713" s="12">
        <v>95.09</v>
      </c>
      <c r="J713" s="12">
        <v>756</v>
      </c>
      <c r="K713" s="12">
        <v>102369.96</v>
      </c>
      <c r="L713" s="12">
        <v>71888.039999999994</v>
      </c>
      <c r="M713" s="16">
        <v>-30481.919999999998</v>
      </c>
      <c r="N713" s="16">
        <v>-29.78</v>
      </c>
      <c r="O713" s="16" t="s">
        <v>33</v>
      </c>
      <c r="P713" s="12">
        <v>0.53210000000000002</v>
      </c>
      <c r="Q713" s="12">
        <v>0.69</v>
      </c>
    </row>
    <row r="714" spans="1:17" x14ac:dyDescent="0.35">
      <c r="A714" s="18" t="s">
        <v>1243</v>
      </c>
      <c r="B714" s="18" t="s">
        <v>589</v>
      </c>
      <c r="C714" s="19" t="s">
        <v>170</v>
      </c>
      <c r="D714" s="18" t="s">
        <v>171</v>
      </c>
      <c r="E714" s="20" t="s">
        <v>97</v>
      </c>
      <c r="F714" s="21" t="s">
        <v>23</v>
      </c>
      <c r="G714" s="18" t="s">
        <v>32</v>
      </c>
      <c r="H714" s="18">
        <v>129.80000000000001</v>
      </c>
      <c r="I714" s="18">
        <v>132.78</v>
      </c>
      <c r="J714" s="18">
        <v>4165</v>
      </c>
      <c r="K714" s="18">
        <v>540617</v>
      </c>
      <c r="L714" s="18">
        <v>553028.69999999995</v>
      </c>
      <c r="M714" s="22">
        <v>12411.7</v>
      </c>
      <c r="N714" s="22">
        <v>2.2999999999999998</v>
      </c>
      <c r="O714" s="22" t="s">
        <v>25</v>
      </c>
      <c r="P714" s="18">
        <v>0.52939999999999998</v>
      </c>
      <c r="Q714" s="18">
        <v>0.63</v>
      </c>
    </row>
    <row r="715" spans="1:17" x14ac:dyDescent="0.35">
      <c r="A715" s="12" t="s">
        <v>1244</v>
      </c>
      <c r="B715" s="12" t="s">
        <v>877</v>
      </c>
      <c r="C715" s="13" t="s">
        <v>42</v>
      </c>
      <c r="D715" s="12" t="s">
        <v>43</v>
      </c>
      <c r="E715" s="14" t="s">
        <v>44</v>
      </c>
      <c r="F715" s="15" t="s">
        <v>38</v>
      </c>
      <c r="G715" s="12" t="s">
        <v>32</v>
      </c>
      <c r="H715" s="12">
        <v>536.82000000000005</v>
      </c>
      <c r="I715" s="12">
        <v>749.61</v>
      </c>
      <c r="J715" s="12">
        <v>2940</v>
      </c>
      <c r="K715" s="12">
        <v>1578250.8</v>
      </c>
      <c r="L715" s="12">
        <v>2203853.4</v>
      </c>
      <c r="M715" s="17">
        <v>625602.6</v>
      </c>
      <c r="N715" s="17">
        <v>39.64</v>
      </c>
      <c r="O715" s="16" t="s">
        <v>33</v>
      </c>
      <c r="P715" s="12">
        <v>0.12920000000000001</v>
      </c>
      <c r="Q715" s="12">
        <v>0.83</v>
      </c>
    </row>
    <row r="716" spans="1:17" x14ac:dyDescent="0.35">
      <c r="A716" s="18" t="s">
        <v>1245</v>
      </c>
      <c r="B716" s="18" t="s">
        <v>244</v>
      </c>
      <c r="C716" s="19" t="s">
        <v>178</v>
      </c>
      <c r="D716" s="18" t="s">
        <v>179</v>
      </c>
      <c r="E716" s="20" t="s">
        <v>22</v>
      </c>
      <c r="F716" s="21" t="s">
        <v>38</v>
      </c>
      <c r="G716" s="18" t="s">
        <v>65</v>
      </c>
      <c r="H716" s="18">
        <v>166.75</v>
      </c>
      <c r="I716" s="18">
        <v>222.15</v>
      </c>
      <c r="J716" s="18">
        <v>4840</v>
      </c>
      <c r="K716" s="18">
        <v>807070</v>
      </c>
      <c r="L716" s="18">
        <v>1075206</v>
      </c>
      <c r="M716" s="22">
        <v>268136</v>
      </c>
      <c r="N716" s="22">
        <v>33.22</v>
      </c>
      <c r="O716" s="23" t="s">
        <v>33</v>
      </c>
      <c r="P716" s="18">
        <v>0.26029999999999998</v>
      </c>
      <c r="Q716" s="18">
        <v>1.31</v>
      </c>
    </row>
    <row r="717" spans="1:17" x14ac:dyDescent="0.35">
      <c r="A717" s="12" t="s">
        <v>1246</v>
      </c>
      <c r="B717" s="12" t="s">
        <v>329</v>
      </c>
      <c r="C717" s="13" t="s">
        <v>72</v>
      </c>
      <c r="D717" s="12" t="s">
        <v>73</v>
      </c>
      <c r="E717" s="14" t="s">
        <v>74</v>
      </c>
      <c r="F717" s="15" t="s">
        <v>38</v>
      </c>
      <c r="G717" s="12" t="s">
        <v>39</v>
      </c>
      <c r="H717" s="12">
        <v>459.08</v>
      </c>
      <c r="I717" s="12">
        <v>474.33</v>
      </c>
      <c r="J717" s="12">
        <v>2591</v>
      </c>
      <c r="K717" s="12">
        <v>1189476.28</v>
      </c>
      <c r="L717" s="12">
        <v>1228989.03</v>
      </c>
      <c r="M717" s="17">
        <v>39512.75</v>
      </c>
      <c r="N717" s="17">
        <v>3.32</v>
      </c>
      <c r="O717" s="17" t="s">
        <v>25</v>
      </c>
      <c r="P717" s="12">
        <v>0.25180000000000002</v>
      </c>
      <c r="Q717" s="12">
        <v>1.55</v>
      </c>
    </row>
    <row r="718" spans="1:17" x14ac:dyDescent="0.35">
      <c r="A718" s="18" t="s">
        <v>1247</v>
      </c>
      <c r="B718" s="18" t="s">
        <v>912</v>
      </c>
      <c r="C718" s="19" t="s">
        <v>150</v>
      </c>
      <c r="D718" s="18" t="s">
        <v>151</v>
      </c>
      <c r="E718" s="20" t="s">
        <v>55</v>
      </c>
      <c r="F718" s="21" t="s">
        <v>98</v>
      </c>
      <c r="G718" s="18" t="s">
        <v>65</v>
      </c>
      <c r="H718" s="18">
        <v>138.65</v>
      </c>
      <c r="I718" s="18">
        <v>149.61000000000001</v>
      </c>
      <c r="J718" s="18">
        <v>487</v>
      </c>
      <c r="K718" s="18">
        <v>67522.55</v>
      </c>
      <c r="L718" s="18">
        <v>72860.070000000007</v>
      </c>
      <c r="M718" s="22">
        <v>5337.52</v>
      </c>
      <c r="N718" s="22">
        <v>7.9</v>
      </c>
      <c r="O718" s="22" t="s">
        <v>25</v>
      </c>
      <c r="P718" s="18">
        <v>0.53120000000000001</v>
      </c>
      <c r="Q718" s="18">
        <v>1.34</v>
      </c>
    </row>
    <row r="719" spans="1:17" x14ac:dyDescent="0.35">
      <c r="A719" s="12" t="s">
        <v>1248</v>
      </c>
      <c r="B719" s="12" t="s">
        <v>1249</v>
      </c>
      <c r="C719" s="13" t="s">
        <v>170</v>
      </c>
      <c r="D719" s="12" t="s">
        <v>171</v>
      </c>
      <c r="E719" s="14" t="s">
        <v>97</v>
      </c>
      <c r="F719" s="15" t="s">
        <v>23</v>
      </c>
      <c r="G719" s="12" t="s">
        <v>24</v>
      </c>
      <c r="H719" s="12">
        <v>159.76</v>
      </c>
      <c r="I719" s="12">
        <v>218.07</v>
      </c>
      <c r="J719" s="12">
        <v>1536</v>
      </c>
      <c r="K719" s="12">
        <v>245391.35999999999</v>
      </c>
      <c r="L719" s="12">
        <v>334955.52000000002</v>
      </c>
      <c r="M719" s="17">
        <v>89564.160000000003</v>
      </c>
      <c r="N719" s="17">
        <v>36.5</v>
      </c>
      <c r="O719" s="16" t="s">
        <v>33</v>
      </c>
      <c r="P719" s="12">
        <v>0.40649999999999997</v>
      </c>
      <c r="Q719" s="12">
        <v>0.78</v>
      </c>
    </row>
    <row r="720" spans="1:17" x14ac:dyDescent="0.35">
      <c r="A720" s="18" t="s">
        <v>1250</v>
      </c>
      <c r="B720" s="18" t="s">
        <v>309</v>
      </c>
      <c r="C720" s="19" t="s">
        <v>150</v>
      </c>
      <c r="D720" s="18" t="s">
        <v>151</v>
      </c>
      <c r="E720" s="20" t="s">
        <v>55</v>
      </c>
      <c r="F720" s="21" t="s">
        <v>98</v>
      </c>
      <c r="G720" s="18" t="s">
        <v>32</v>
      </c>
      <c r="H720" s="18">
        <v>137.63</v>
      </c>
      <c r="I720" s="18">
        <v>146.19999999999999</v>
      </c>
      <c r="J720" s="18">
        <v>4806</v>
      </c>
      <c r="K720" s="18">
        <v>661449.78</v>
      </c>
      <c r="L720" s="18">
        <v>702637.2</v>
      </c>
      <c r="M720" s="22">
        <v>41187.42</v>
      </c>
      <c r="N720" s="22">
        <v>6.23</v>
      </c>
      <c r="O720" s="22" t="s">
        <v>25</v>
      </c>
      <c r="P720" s="18">
        <v>0.1993</v>
      </c>
      <c r="Q720" s="18">
        <v>1.27</v>
      </c>
    </row>
    <row r="721" spans="1:17" x14ac:dyDescent="0.35">
      <c r="A721" s="12" t="s">
        <v>1251</v>
      </c>
      <c r="B721" s="12" t="s">
        <v>1252</v>
      </c>
      <c r="C721" s="13" t="s">
        <v>103</v>
      </c>
      <c r="D721" s="12" t="s">
        <v>104</v>
      </c>
      <c r="E721" s="14" t="s">
        <v>22</v>
      </c>
      <c r="F721" s="15" t="s">
        <v>98</v>
      </c>
      <c r="G721" s="12" t="s">
        <v>65</v>
      </c>
      <c r="H721" s="12">
        <v>307.8</v>
      </c>
      <c r="I721" s="12">
        <v>387.18</v>
      </c>
      <c r="J721" s="12">
        <v>1311</v>
      </c>
      <c r="K721" s="12">
        <v>403525.8</v>
      </c>
      <c r="L721" s="12">
        <v>507592.98</v>
      </c>
      <c r="M721" s="17">
        <v>104067.18</v>
      </c>
      <c r="N721" s="17">
        <v>25.79</v>
      </c>
      <c r="O721" s="16" t="s">
        <v>33</v>
      </c>
      <c r="P721" s="12">
        <v>0.18990000000000001</v>
      </c>
      <c r="Q721" s="12">
        <v>0.96</v>
      </c>
    </row>
    <row r="722" spans="1:17" x14ac:dyDescent="0.35">
      <c r="A722" s="18" t="s">
        <v>1253</v>
      </c>
      <c r="B722" s="18" t="s">
        <v>1254</v>
      </c>
      <c r="C722" s="19" t="s">
        <v>178</v>
      </c>
      <c r="D722" s="18" t="s">
        <v>179</v>
      </c>
      <c r="E722" s="20" t="s">
        <v>22</v>
      </c>
      <c r="F722" s="21" t="s">
        <v>23</v>
      </c>
      <c r="G722" s="18" t="s">
        <v>39</v>
      </c>
      <c r="H722" s="18">
        <v>197.46</v>
      </c>
      <c r="I722" s="18">
        <v>136.6</v>
      </c>
      <c r="J722" s="18">
        <v>3852</v>
      </c>
      <c r="K722" s="18">
        <v>760615.92</v>
      </c>
      <c r="L722" s="18">
        <v>526183.19999999995</v>
      </c>
      <c r="M722" s="23">
        <v>-234432.72</v>
      </c>
      <c r="N722" s="23">
        <v>-30.82</v>
      </c>
      <c r="O722" s="23" t="s">
        <v>33</v>
      </c>
      <c r="P722" s="18">
        <v>0.53720000000000001</v>
      </c>
      <c r="Q722" s="18">
        <v>1.26</v>
      </c>
    </row>
    <row r="723" spans="1:17" x14ac:dyDescent="0.35">
      <c r="A723" s="12" t="s">
        <v>1255</v>
      </c>
      <c r="B723" s="12" t="s">
        <v>1256</v>
      </c>
      <c r="C723" s="13" t="s">
        <v>72</v>
      </c>
      <c r="D723" s="12" t="s">
        <v>73</v>
      </c>
      <c r="E723" s="14" t="s">
        <v>74</v>
      </c>
      <c r="F723" s="15" t="s">
        <v>38</v>
      </c>
      <c r="G723" s="12" t="s">
        <v>24</v>
      </c>
      <c r="H723" s="12">
        <v>513.4</v>
      </c>
      <c r="I723" s="12">
        <v>722.82</v>
      </c>
      <c r="J723" s="12">
        <v>2474</v>
      </c>
      <c r="K723" s="12">
        <v>1270151.6000000001</v>
      </c>
      <c r="L723" s="12">
        <v>1788256.68</v>
      </c>
      <c r="M723" s="17">
        <v>518105.08</v>
      </c>
      <c r="N723" s="17">
        <v>40.79</v>
      </c>
      <c r="O723" s="16" t="s">
        <v>33</v>
      </c>
      <c r="P723" s="12">
        <v>0.5474</v>
      </c>
      <c r="Q723" s="12">
        <v>1.4</v>
      </c>
    </row>
    <row r="724" spans="1:17" x14ac:dyDescent="0.35">
      <c r="A724" s="18" t="s">
        <v>1257</v>
      </c>
      <c r="B724" s="18" t="s">
        <v>1258</v>
      </c>
      <c r="C724" s="19" t="s">
        <v>28</v>
      </c>
      <c r="D724" s="18" t="s">
        <v>29</v>
      </c>
      <c r="E724" s="20" t="s">
        <v>30</v>
      </c>
      <c r="F724" s="21" t="s">
        <v>31</v>
      </c>
      <c r="G724" s="18" t="s">
        <v>65</v>
      </c>
      <c r="H724" s="18">
        <v>268.81</v>
      </c>
      <c r="I724" s="18">
        <v>262.79000000000002</v>
      </c>
      <c r="J724" s="18">
        <v>4023</v>
      </c>
      <c r="K724" s="18">
        <v>1081422.6299999999</v>
      </c>
      <c r="L724" s="18">
        <v>1057204.17</v>
      </c>
      <c r="M724" s="23">
        <v>-24218.46</v>
      </c>
      <c r="N724" s="23">
        <v>-2.2400000000000002</v>
      </c>
      <c r="O724" s="22" t="s">
        <v>25</v>
      </c>
      <c r="P724" s="18">
        <v>0.3569</v>
      </c>
      <c r="Q724" s="18">
        <v>0.97</v>
      </c>
    </row>
    <row r="725" spans="1:17" x14ac:dyDescent="0.35">
      <c r="A725" s="12" t="s">
        <v>1259</v>
      </c>
      <c r="B725" s="12" t="s">
        <v>1260</v>
      </c>
      <c r="C725" s="13" t="s">
        <v>77</v>
      </c>
      <c r="D725" s="12" t="s">
        <v>78</v>
      </c>
      <c r="E725" s="14" t="s">
        <v>44</v>
      </c>
      <c r="F725" s="15" t="s">
        <v>38</v>
      </c>
      <c r="G725" s="12" t="s">
        <v>39</v>
      </c>
      <c r="H725" s="12">
        <v>144.83000000000001</v>
      </c>
      <c r="I725" s="12">
        <v>93.46</v>
      </c>
      <c r="J725" s="12">
        <v>3027</v>
      </c>
      <c r="K725" s="12">
        <v>438400.41</v>
      </c>
      <c r="L725" s="12">
        <v>282903.42</v>
      </c>
      <c r="M725" s="16">
        <v>-155496.99</v>
      </c>
      <c r="N725" s="16">
        <v>-35.47</v>
      </c>
      <c r="O725" s="16" t="s">
        <v>33</v>
      </c>
      <c r="P725" s="12">
        <v>0.39579999999999999</v>
      </c>
      <c r="Q725" s="12">
        <v>1.3</v>
      </c>
    </row>
    <row r="726" spans="1:17" x14ac:dyDescent="0.35">
      <c r="A726" s="18" t="s">
        <v>1261</v>
      </c>
      <c r="B726" s="18" t="s">
        <v>198</v>
      </c>
      <c r="C726" s="19" t="s">
        <v>150</v>
      </c>
      <c r="D726" s="18" t="s">
        <v>151</v>
      </c>
      <c r="E726" s="20" t="s">
        <v>55</v>
      </c>
      <c r="F726" s="21" t="s">
        <v>31</v>
      </c>
      <c r="G726" s="18" t="s">
        <v>39</v>
      </c>
      <c r="H726" s="18">
        <v>156.79</v>
      </c>
      <c r="I726" s="18">
        <v>129.34</v>
      </c>
      <c r="J726" s="18">
        <v>784</v>
      </c>
      <c r="K726" s="18">
        <v>122923.36</v>
      </c>
      <c r="L726" s="18">
        <v>101402.56</v>
      </c>
      <c r="M726" s="23">
        <v>-21520.799999999999</v>
      </c>
      <c r="N726" s="23">
        <v>-17.510000000000002</v>
      </c>
      <c r="O726" s="24" t="s">
        <v>45</v>
      </c>
      <c r="P726" s="18">
        <v>0.4088</v>
      </c>
      <c r="Q726" s="18">
        <v>0.7</v>
      </c>
    </row>
    <row r="727" spans="1:17" x14ac:dyDescent="0.35">
      <c r="A727" s="12" t="s">
        <v>1262</v>
      </c>
      <c r="B727" s="12" t="s">
        <v>1228</v>
      </c>
      <c r="C727" s="13" t="s">
        <v>72</v>
      </c>
      <c r="D727" s="12" t="s">
        <v>73</v>
      </c>
      <c r="E727" s="14" t="s">
        <v>74</v>
      </c>
      <c r="F727" s="15" t="s">
        <v>38</v>
      </c>
      <c r="G727" s="12" t="s">
        <v>39</v>
      </c>
      <c r="H727" s="12">
        <v>463.93</v>
      </c>
      <c r="I727" s="12">
        <v>396.81</v>
      </c>
      <c r="J727" s="12">
        <v>2703</v>
      </c>
      <c r="K727" s="12">
        <v>1254002.79</v>
      </c>
      <c r="L727" s="12">
        <v>1072577.43</v>
      </c>
      <c r="M727" s="16">
        <v>-181425.36</v>
      </c>
      <c r="N727" s="16">
        <v>-14.47</v>
      </c>
      <c r="O727" s="25" t="s">
        <v>45</v>
      </c>
      <c r="P727" s="12">
        <v>0.14410000000000001</v>
      </c>
      <c r="Q727" s="12">
        <v>1.4</v>
      </c>
    </row>
    <row r="728" spans="1:17" x14ac:dyDescent="0.35">
      <c r="A728" s="18" t="s">
        <v>1263</v>
      </c>
      <c r="B728" s="18" t="s">
        <v>1264</v>
      </c>
      <c r="C728" s="19" t="s">
        <v>77</v>
      </c>
      <c r="D728" s="18" t="s">
        <v>78</v>
      </c>
      <c r="E728" s="20" t="s">
        <v>44</v>
      </c>
      <c r="F728" s="21" t="s">
        <v>98</v>
      </c>
      <c r="G728" s="18" t="s">
        <v>32</v>
      </c>
      <c r="H728" s="18">
        <v>158.71</v>
      </c>
      <c r="I728" s="18">
        <v>171.29</v>
      </c>
      <c r="J728" s="18">
        <v>3263</v>
      </c>
      <c r="K728" s="18">
        <v>517870.73</v>
      </c>
      <c r="L728" s="18">
        <v>558919.27</v>
      </c>
      <c r="M728" s="22">
        <v>41048.54</v>
      </c>
      <c r="N728" s="22">
        <v>7.93</v>
      </c>
      <c r="O728" s="22" t="s">
        <v>25</v>
      </c>
      <c r="P728" s="18">
        <v>0.27110000000000001</v>
      </c>
      <c r="Q728" s="18">
        <v>1.77</v>
      </c>
    </row>
    <row r="729" spans="1:17" x14ac:dyDescent="0.35">
      <c r="A729" s="12" t="s">
        <v>1265</v>
      </c>
      <c r="B729" s="12" t="s">
        <v>1266</v>
      </c>
      <c r="C729" s="13" t="s">
        <v>36</v>
      </c>
      <c r="D729" s="12" t="s">
        <v>37</v>
      </c>
      <c r="E729" s="14" t="s">
        <v>30</v>
      </c>
      <c r="F729" s="15" t="s">
        <v>38</v>
      </c>
      <c r="G729" s="12" t="s">
        <v>39</v>
      </c>
      <c r="H729" s="12">
        <v>229.13</v>
      </c>
      <c r="I729" s="12">
        <v>172.48</v>
      </c>
      <c r="J729" s="12">
        <v>3504</v>
      </c>
      <c r="K729" s="12">
        <v>802871.52</v>
      </c>
      <c r="L729" s="12">
        <v>604369.92000000004</v>
      </c>
      <c r="M729" s="16">
        <v>-198501.6</v>
      </c>
      <c r="N729" s="16">
        <v>-24.72</v>
      </c>
      <c r="O729" s="16" t="s">
        <v>33</v>
      </c>
      <c r="P729" s="12">
        <v>0.46639999999999998</v>
      </c>
      <c r="Q729" s="12">
        <v>1.76</v>
      </c>
    </row>
    <row r="730" spans="1:17" x14ac:dyDescent="0.35">
      <c r="A730" s="18" t="s">
        <v>1267</v>
      </c>
      <c r="B730" s="18" t="s">
        <v>189</v>
      </c>
      <c r="C730" s="19" t="s">
        <v>42</v>
      </c>
      <c r="D730" s="18" t="s">
        <v>43</v>
      </c>
      <c r="E730" s="20" t="s">
        <v>44</v>
      </c>
      <c r="F730" s="21" t="s">
        <v>62</v>
      </c>
      <c r="G730" s="18" t="s">
        <v>32</v>
      </c>
      <c r="H730" s="18">
        <v>481.7</v>
      </c>
      <c r="I730" s="18">
        <v>493.96</v>
      </c>
      <c r="J730" s="18">
        <v>4998</v>
      </c>
      <c r="K730" s="18">
        <v>2407536.6</v>
      </c>
      <c r="L730" s="18">
        <v>2468812.08</v>
      </c>
      <c r="M730" s="22">
        <v>61275.48</v>
      </c>
      <c r="N730" s="22">
        <v>2.5499999999999998</v>
      </c>
      <c r="O730" s="22" t="s">
        <v>25</v>
      </c>
      <c r="P730" s="18">
        <v>0.3241</v>
      </c>
      <c r="Q730" s="18">
        <v>1.64</v>
      </c>
    </row>
    <row r="731" spans="1:17" x14ac:dyDescent="0.35">
      <c r="A731" s="12" t="s">
        <v>1268</v>
      </c>
      <c r="B731" s="12" t="s">
        <v>381</v>
      </c>
      <c r="C731" s="13" t="s">
        <v>215</v>
      </c>
      <c r="D731" s="12" t="s">
        <v>216</v>
      </c>
      <c r="E731" s="14" t="s">
        <v>50</v>
      </c>
      <c r="F731" s="15" t="s">
        <v>31</v>
      </c>
      <c r="G731" s="12" t="s">
        <v>32</v>
      </c>
      <c r="H731" s="12">
        <v>155.65</v>
      </c>
      <c r="I731" s="12">
        <v>236.6</v>
      </c>
      <c r="J731" s="12">
        <v>154</v>
      </c>
      <c r="K731" s="12">
        <v>23970.1</v>
      </c>
      <c r="L731" s="12">
        <v>36436.400000000001</v>
      </c>
      <c r="M731" s="17">
        <v>12466.3</v>
      </c>
      <c r="N731" s="17">
        <v>52.01</v>
      </c>
      <c r="O731" s="16" t="s">
        <v>33</v>
      </c>
      <c r="P731" s="12">
        <v>0.29820000000000002</v>
      </c>
      <c r="Q731" s="12">
        <v>1.27</v>
      </c>
    </row>
    <row r="732" spans="1:17" x14ac:dyDescent="0.35">
      <c r="A732" s="18" t="s">
        <v>1269</v>
      </c>
      <c r="B732" s="18" t="s">
        <v>354</v>
      </c>
      <c r="C732" s="19" t="s">
        <v>28</v>
      </c>
      <c r="D732" s="18" t="s">
        <v>29</v>
      </c>
      <c r="E732" s="20" t="s">
        <v>30</v>
      </c>
      <c r="F732" s="21" t="s">
        <v>23</v>
      </c>
      <c r="G732" s="18" t="s">
        <v>39</v>
      </c>
      <c r="H732" s="18">
        <v>224.84</v>
      </c>
      <c r="I732" s="18">
        <v>190.14</v>
      </c>
      <c r="J732" s="18">
        <v>3227</v>
      </c>
      <c r="K732" s="18">
        <v>725558.68</v>
      </c>
      <c r="L732" s="18">
        <v>613581.78</v>
      </c>
      <c r="M732" s="23">
        <v>-111976.9</v>
      </c>
      <c r="N732" s="23">
        <v>-15.43</v>
      </c>
      <c r="O732" s="24" t="s">
        <v>45</v>
      </c>
      <c r="P732" s="18">
        <v>0.4738</v>
      </c>
      <c r="Q732" s="18">
        <v>0.96</v>
      </c>
    </row>
    <row r="733" spans="1:17" x14ac:dyDescent="0.35">
      <c r="A733" s="12" t="s">
        <v>1270</v>
      </c>
      <c r="B733" s="12" t="s">
        <v>1164</v>
      </c>
      <c r="C733" s="13" t="s">
        <v>28</v>
      </c>
      <c r="D733" s="12" t="s">
        <v>29</v>
      </c>
      <c r="E733" s="14" t="s">
        <v>30</v>
      </c>
      <c r="F733" s="15" t="s">
        <v>62</v>
      </c>
      <c r="G733" s="12" t="s">
        <v>39</v>
      </c>
      <c r="H733" s="12">
        <v>220.17</v>
      </c>
      <c r="I733" s="12">
        <v>216.64</v>
      </c>
      <c r="J733" s="12">
        <v>3896</v>
      </c>
      <c r="K733" s="12">
        <v>857782.32</v>
      </c>
      <c r="L733" s="12">
        <v>844029.43999999994</v>
      </c>
      <c r="M733" s="16">
        <v>-13752.88</v>
      </c>
      <c r="N733" s="16">
        <v>-1.6</v>
      </c>
      <c r="O733" s="17" t="s">
        <v>25</v>
      </c>
      <c r="P733" s="12">
        <v>0.1862</v>
      </c>
      <c r="Q733" s="12">
        <v>0.96</v>
      </c>
    </row>
    <row r="734" spans="1:17" x14ac:dyDescent="0.35">
      <c r="A734" s="18" t="s">
        <v>1271</v>
      </c>
      <c r="B734" s="18" t="s">
        <v>444</v>
      </c>
      <c r="C734" s="19" t="s">
        <v>115</v>
      </c>
      <c r="D734" s="18" t="s">
        <v>116</v>
      </c>
      <c r="E734" s="20" t="s">
        <v>55</v>
      </c>
      <c r="F734" s="21" t="s">
        <v>38</v>
      </c>
      <c r="G734" s="18" t="s">
        <v>24</v>
      </c>
      <c r="H734" s="18">
        <v>778.1</v>
      </c>
      <c r="I734" s="18">
        <v>1059.3800000000001</v>
      </c>
      <c r="J734" s="18">
        <v>1569</v>
      </c>
      <c r="K734" s="18">
        <v>1220838.8999999999</v>
      </c>
      <c r="L734" s="18">
        <v>1662167.22</v>
      </c>
      <c r="M734" s="22">
        <v>441328.32</v>
      </c>
      <c r="N734" s="22">
        <v>36.15</v>
      </c>
      <c r="O734" s="23" t="s">
        <v>33</v>
      </c>
      <c r="P734" s="18">
        <v>0.22520000000000001</v>
      </c>
      <c r="Q734" s="18">
        <v>0.74</v>
      </c>
    </row>
    <row r="735" spans="1:17" x14ac:dyDescent="0.35">
      <c r="A735" s="12" t="s">
        <v>1272</v>
      </c>
      <c r="B735" s="12" t="s">
        <v>1273</v>
      </c>
      <c r="C735" s="13" t="s">
        <v>83</v>
      </c>
      <c r="D735" s="12" t="s">
        <v>84</v>
      </c>
      <c r="E735" s="14" t="s">
        <v>55</v>
      </c>
      <c r="F735" s="15" t="s">
        <v>62</v>
      </c>
      <c r="G735" s="12" t="s">
        <v>32</v>
      </c>
      <c r="H735" s="12">
        <v>389.24</v>
      </c>
      <c r="I735" s="12">
        <v>496.63</v>
      </c>
      <c r="J735" s="12">
        <v>3063</v>
      </c>
      <c r="K735" s="12">
        <v>1192242.1200000001</v>
      </c>
      <c r="L735" s="12">
        <v>1521177.69</v>
      </c>
      <c r="M735" s="17">
        <v>328935.57</v>
      </c>
      <c r="N735" s="17">
        <v>27.59</v>
      </c>
      <c r="O735" s="16" t="s">
        <v>33</v>
      </c>
      <c r="P735" s="12">
        <v>0.49340000000000001</v>
      </c>
      <c r="Q735" s="12">
        <v>1.35</v>
      </c>
    </row>
    <row r="736" spans="1:17" x14ac:dyDescent="0.35">
      <c r="A736" s="18" t="s">
        <v>1274</v>
      </c>
      <c r="B736" s="18" t="s">
        <v>1275</v>
      </c>
      <c r="C736" s="19" t="s">
        <v>115</v>
      </c>
      <c r="D736" s="18" t="s">
        <v>116</v>
      </c>
      <c r="E736" s="20" t="s">
        <v>55</v>
      </c>
      <c r="F736" s="21" t="s">
        <v>98</v>
      </c>
      <c r="G736" s="18" t="s">
        <v>32</v>
      </c>
      <c r="H736" s="18">
        <v>834.51</v>
      </c>
      <c r="I736" s="18">
        <v>744.62</v>
      </c>
      <c r="J736" s="18">
        <v>4298</v>
      </c>
      <c r="K736" s="18">
        <v>3586723.98</v>
      </c>
      <c r="L736" s="18">
        <v>3200376.76</v>
      </c>
      <c r="M736" s="23">
        <v>-386347.22</v>
      </c>
      <c r="N736" s="23">
        <v>-10.77</v>
      </c>
      <c r="O736" s="24" t="s">
        <v>45</v>
      </c>
      <c r="P736" s="18">
        <v>0.2316</v>
      </c>
      <c r="Q736" s="18">
        <v>1.3</v>
      </c>
    </row>
    <row r="737" spans="1:17" x14ac:dyDescent="0.35">
      <c r="A737" s="12" t="s">
        <v>1276</v>
      </c>
      <c r="B737" s="12" t="s">
        <v>551</v>
      </c>
      <c r="C737" s="13" t="s">
        <v>87</v>
      </c>
      <c r="D737" s="12" t="s">
        <v>88</v>
      </c>
      <c r="E737" s="14" t="s">
        <v>22</v>
      </c>
      <c r="F737" s="15" t="s">
        <v>23</v>
      </c>
      <c r="G737" s="12" t="s">
        <v>39</v>
      </c>
      <c r="H737" s="12">
        <v>314.64999999999998</v>
      </c>
      <c r="I737" s="12">
        <v>234.55</v>
      </c>
      <c r="J737" s="12">
        <v>3027</v>
      </c>
      <c r="K737" s="12">
        <v>952445.55</v>
      </c>
      <c r="L737" s="12">
        <v>709982.85</v>
      </c>
      <c r="M737" s="16">
        <v>-242462.7</v>
      </c>
      <c r="N737" s="16">
        <v>-25.46</v>
      </c>
      <c r="O737" s="16" t="s">
        <v>33</v>
      </c>
      <c r="P737" s="12">
        <v>0.3004</v>
      </c>
      <c r="Q737" s="12">
        <v>1.69</v>
      </c>
    </row>
    <row r="738" spans="1:17" x14ac:dyDescent="0.35">
      <c r="A738" s="18" t="s">
        <v>1277</v>
      </c>
      <c r="B738" s="18" t="s">
        <v>737</v>
      </c>
      <c r="C738" s="19" t="s">
        <v>48</v>
      </c>
      <c r="D738" s="18" t="s">
        <v>49</v>
      </c>
      <c r="E738" s="20" t="s">
        <v>50</v>
      </c>
      <c r="F738" s="21" t="s">
        <v>98</v>
      </c>
      <c r="G738" s="18" t="s">
        <v>24</v>
      </c>
      <c r="H738" s="18">
        <v>67.709999999999994</v>
      </c>
      <c r="I738" s="18">
        <v>63.23</v>
      </c>
      <c r="J738" s="18">
        <v>4438</v>
      </c>
      <c r="K738" s="18">
        <v>300496.98</v>
      </c>
      <c r="L738" s="18">
        <v>280614.74</v>
      </c>
      <c r="M738" s="23">
        <v>-19882.240000000002</v>
      </c>
      <c r="N738" s="23">
        <v>-6.62</v>
      </c>
      <c r="O738" s="22" t="s">
        <v>25</v>
      </c>
      <c r="P738" s="18">
        <v>0.20330000000000001</v>
      </c>
      <c r="Q738" s="18">
        <v>1.35</v>
      </c>
    </row>
    <row r="739" spans="1:17" x14ac:dyDescent="0.35">
      <c r="A739" s="12" t="s">
        <v>1278</v>
      </c>
      <c r="B739" s="12" t="s">
        <v>1279</v>
      </c>
      <c r="C739" s="13" t="s">
        <v>20</v>
      </c>
      <c r="D739" s="12" t="s">
        <v>21</v>
      </c>
      <c r="E739" s="14" t="s">
        <v>22</v>
      </c>
      <c r="F739" s="15" t="s">
        <v>62</v>
      </c>
      <c r="G739" s="12" t="s">
        <v>32</v>
      </c>
      <c r="H739" s="12">
        <v>667.04</v>
      </c>
      <c r="I739" s="12">
        <v>973.06</v>
      </c>
      <c r="J739" s="12">
        <v>2742</v>
      </c>
      <c r="K739" s="12">
        <v>1829023.68</v>
      </c>
      <c r="L739" s="12">
        <v>2668130.52</v>
      </c>
      <c r="M739" s="17">
        <v>839106.84</v>
      </c>
      <c r="N739" s="17">
        <v>45.88</v>
      </c>
      <c r="O739" s="16" t="s">
        <v>33</v>
      </c>
      <c r="P739" s="12">
        <v>0.41449999999999998</v>
      </c>
      <c r="Q739" s="12">
        <v>0.96</v>
      </c>
    </row>
    <row r="740" spans="1:17" x14ac:dyDescent="0.35">
      <c r="A740" s="18" t="s">
        <v>1280</v>
      </c>
      <c r="B740" s="18" t="s">
        <v>1281</v>
      </c>
      <c r="C740" s="19" t="s">
        <v>48</v>
      </c>
      <c r="D740" s="18" t="s">
        <v>49</v>
      </c>
      <c r="E740" s="20" t="s">
        <v>50</v>
      </c>
      <c r="F740" s="21" t="s">
        <v>23</v>
      </c>
      <c r="G740" s="18" t="s">
        <v>65</v>
      </c>
      <c r="H740" s="18">
        <v>57.92</v>
      </c>
      <c r="I740" s="18">
        <v>62.38</v>
      </c>
      <c r="J740" s="18">
        <v>205</v>
      </c>
      <c r="K740" s="18">
        <v>11873.6</v>
      </c>
      <c r="L740" s="18">
        <v>12787.9</v>
      </c>
      <c r="M740" s="22">
        <v>914.3</v>
      </c>
      <c r="N740" s="22">
        <v>7.7</v>
      </c>
      <c r="O740" s="22" t="s">
        <v>25</v>
      </c>
      <c r="P740" s="18">
        <v>0.45490000000000003</v>
      </c>
      <c r="Q740" s="18">
        <v>1.0900000000000001</v>
      </c>
    </row>
    <row r="741" spans="1:17" x14ac:dyDescent="0.35">
      <c r="A741" s="12" t="s">
        <v>1282</v>
      </c>
      <c r="B741" s="12" t="s">
        <v>1283</v>
      </c>
      <c r="C741" s="13" t="s">
        <v>170</v>
      </c>
      <c r="D741" s="12" t="s">
        <v>171</v>
      </c>
      <c r="E741" s="14" t="s">
        <v>97</v>
      </c>
      <c r="F741" s="15" t="s">
        <v>23</v>
      </c>
      <c r="G741" s="12" t="s">
        <v>39</v>
      </c>
      <c r="H741" s="12">
        <v>132.87</v>
      </c>
      <c r="I741" s="12">
        <v>93.9</v>
      </c>
      <c r="J741" s="12">
        <v>4223</v>
      </c>
      <c r="K741" s="12">
        <v>561110.01</v>
      </c>
      <c r="L741" s="12">
        <v>396539.7</v>
      </c>
      <c r="M741" s="16">
        <v>-164570.31</v>
      </c>
      <c r="N741" s="16">
        <v>-29.33</v>
      </c>
      <c r="O741" s="16" t="s">
        <v>33</v>
      </c>
      <c r="P741" s="12">
        <v>0.50570000000000004</v>
      </c>
      <c r="Q741" s="12">
        <v>1.34</v>
      </c>
    </row>
    <row r="742" spans="1:17" x14ac:dyDescent="0.35">
      <c r="A742" s="18" t="s">
        <v>1284</v>
      </c>
      <c r="B742" s="18" t="s">
        <v>1285</v>
      </c>
      <c r="C742" s="19" t="s">
        <v>72</v>
      </c>
      <c r="D742" s="18" t="s">
        <v>73</v>
      </c>
      <c r="E742" s="20" t="s">
        <v>74</v>
      </c>
      <c r="F742" s="21" t="s">
        <v>38</v>
      </c>
      <c r="G742" s="18" t="s">
        <v>32</v>
      </c>
      <c r="H742" s="18">
        <v>506.16</v>
      </c>
      <c r="I742" s="18">
        <v>486.72</v>
      </c>
      <c r="J742" s="18">
        <v>3872</v>
      </c>
      <c r="K742" s="18">
        <v>1959851.52</v>
      </c>
      <c r="L742" s="18">
        <v>1884579.8400000001</v>
      </c>
      <c r="M742" s="23">
        <v>-75271.679999999993</v>
      </c>
      <c r="N742" s="23">
        <v>-3.84</v>
      </c>
      <c r="O742" s="22" t="s">
        <v>25</v>
      </c>
      <c r="P742" s="18">
        <v>0.1764</v>
      </c>
      <c r="Q742" s="18">
        <v>0.62</v>
      </c>
    </row>
    <row r="743" spans="1:17" x14ac:dyDescent="0.35">
      <c r="A743" s="12" t="s">
        <v>1286</v>
      </c>
      <c r="B743" s="12" t="s">
        <v>1287</v>
      </c>
      <c r="C743" s="13" t="s">
        <v>48</v>
      </c>
      <c r="D743" s="12" t="s">
        <v>49</v>
      </c>
      <c r="E743" s="14" t="s">
        <v>50</v>
      </c>
      <c r="F743" s="15" t="s">
        <v>23</v>
      </c>
      <c r="G743" s="12" t="s">
        <v>65</v>
      </c>
      <c r="H743" s="12">
        <v>72.599999999999994</v>
      </c>
      <c r="I743" s="12">
        <v>94.26</v>
      </c>
      <c r="J743" s="12">
        <v>3720</v>
      </c>
      <c r="K743" s="12">
        <v>270072</v>
      </c>
      <c r="L743" s="12">
        <v>350647.2</v>
      </c>
      <c r="M743" s="17">
        <v>80575.199999999997</v>
      </c>
      <c r="N743" s="17">
        <v>29.83</v>
      </c>
      <c r="O743" s="16" t="s">
        <v>33</v>
      </c>
      <c r="P743" s="12">
        <v>0.44829999999999998</v>
      </c>
      <c r="Q743" s="12">
        <v>1.01</v>
      </c>
    </row>
    <row r="744" spans="1:17" x14ac:dyDescent="0.35">
      <c r="A744" s="18" t="s">
        <v>1288</v>
      </c>
      <c r="B744" s="18" t="s">
        <v>1289</v>
      </c>
      <c r="C744" s="19" t="s">
        <v>137</v>
      </c>
      <c r="D744" s="18" t="s">
        <v>138</v>
      </c>
      <c r="E744" s="20" t="s">
        <v>50</v>
      </c>
      <c r="F744" s="21" t="s">
        <v>23</v>
      </c>
      <c r="G744" s="18" t="s">
        <v>32</v>
      </c>
      <c r="H744" s="18">
        <v>116.24</v>
      </c>
      <c r="I744" s="18">
        <v>113.87</v>
      </c>
      <c r="J744" s="18">
        <v>1154</v>
      </c>
      <c r="K744" s="18">
        <v>134140.96</v>
      </c>
      <c r="L744" s="18">
        <v>131405.98000000001</v>
      </c>
      <c r="M744" s="23">
        <v>-2734.98</v>
      </c>
      <c r="N744" s="23">
        <v>-2.04</v>
      </c>
      <c r="O744" s="22" t="s">
        <v>25</v>
      </c>
      <c r="P744" s="18">
        <v>0.21740000000000001</v>
      </c>
      <c r="Q744" s="18">
        <v>0.75</v>
      </c>
    </row>
    <row r="745" spans="1:17" x14ac:dyDescent="0.35">
      <c r="A745" s="12" t="s">
        <v>1290</v>
      </c>
      <c r="B745" s="12" t="s">
        <v>1291</v>
      </c>
      <c r="C745" s="13" t="s">
        <v>87</v>
      </c>
      <c r="D745" s="12" t="s">
        <v>88</v>
      </c>
      <c r="E745" s="14" t="s">
        <v>22</v>
      </c>
      <c r="F745" s="15" t="s">
        <v>31</v>
      </c>
      <c r="G745" s="12" t="s">
        <v>32</v>
      </c>
      <c r="H745" s="12">
        <v>299.47000000000003</v>
      </c>
      <c r="I745" s="12">
        <v>365.05</v>
      </c>
      <c r="J745" s="12">
        <v>736</v>
      </c>
      <c r="K745" s="12">
        <v>220409.92</v>
      </c>
      <c r="L745" s="12">
        <v>268676.8</v>
      </c>
      <c r="M745" s="17">
        <v>48266.879999999997</v>
      </c>
      <c r="N745" s="17">
        <v>21.9</v>
      </c>
      <c r="O745" s="25" t="s">
        <v>45</v>
      </c>
      <c r="P745" s="12">
        <v>0.3054</v>
      </c>
      <c r="Q745" s="12">
        <v>0.84</v>
      </c>
    </row>
    <row r="746" spans="1:17" x14ac:dyDescent="0.35">
      <c r="A746" s="18" t="s">
        <v>1292</v>
      </c>
      <c r="B746" s="18" t="s">
        <v>1293</v>
      </c>
      <c r="C746" s="19" t="s">
        <v>103</v>
      </c>
      <c r="D746" s="18" t="s">
        <v>104</v>
      </c>
      <c r="E746" s="20" t="s">
        <v>22</v>
      </c>
      <c r="F746" s="21" t="s">
        <v>38</v>
      </c>
      <c r="G746" s="18" t="s">
        <v>32</v>
      </c>
      <c r="H746" s="18">
        <v>359.22</v>
      </c>
      <c r="I746" s="18">
        <v>327</v>
      </c>
      <c r="J746" s="18">
        <v>1074</v>
      </c>
      <c r="K746" s="18">
        <v>385802.28</v>
      </c>
      <c r="L746" s="18">
        <v>351198</v>
      </c>
      <c r="M746" s="23">
        <v>-34604.28</v>
      </c>
      <c r="N746" s="23">
        <v>-8.9700000000000006</v>
      </c>
      <c r="O746" s="24" t="s">
        <v>45</v>
      </c>
      <c r="P746" s="18">
        <v>0.24970000000000001</v>
      </c>
      <c r="Q746" s="18">
        <v>0.61</v>
      </c>
    </row>
    <row r="747" spans="1:17" x14ac:dyDescent="0.35">
      <c r="A747" s="12" t="s">
        <v>1294</v>
      </c>
      <c r="B747" s="12" t="s">
        <v>1295</v>
      </c>
      <c r="C747" s="13" t="s">
        <v>20</v>
      </c>
      <c r="D747" s="12" t="s">
        <v>21</v>
      </c>
      <c r="E747" s="14" t="s">
        <v>22</v>
      </c>
      <c r="F747" s="15" t="s">
        <v>62</v>
      </c>
      <c r="G747" s="12" t="s">
        <v>39</v>
      </c>
      <c r="H747" s="12">
        <v>543.26</v>
      </c>
      <c r="I747" s="12">
        <v>424.67</v>
      </c>
      <c r="J747" s="12">
        <v>1738</v>
      </c>
      <c r="K747" s="12">
        <v>944185.88</v>
      </c>
      <c r="L747" s="12">
        <v>738076.46</v>
      </c>
      <c r="M747" s="16">
        <v>-206109.42</v>
      </c>
      <c r="N747" s="16">
        <v>-21.83</v>
      </c>
      <c r="O747" s="25" t="s">
        <v>45</v>
      </c>
      <c r="P747" s="12">
        <v>0.159</v>
      </c>
      <c r="Q747" s="12">
        <v>1.62</v>
      </c>
    </row>
    <row r="748" spans="1:17" x14ac:dyDescent="0.35">
      <c r="A748" s="18" t="s">
        <v>1296</v>
      </c>
      <c r="B748" s="18" t="s">
        <v>167</v>
      </c>
      <c r="C748" s="19" t="s">
        <v>83</v>
      </c>
      <c r="D748" s="18" t="s">
        <v>84</v>
      </c>
      <c r="E748" s="20" t="s">
        <v>55</v>
      </c>
      <c r="F748" s="21" t="s">
        <v>98</v>
      </c>
      <c r="G748" s="18" t="s">
        <v>65</v>
      </c>
      <c r="H748" s="18">
        <v>420.49</v>
      </c>
      <c r="I748" s="18">
        <v>599.85</v>
      </c>
      <c r="J748" s="18">
        <v>1415</v>
      </c>
      <c r="K748" s="18">
        <v>594993.35</v>
      </c>
      <c r="L748" s="18">
        <v>848787.75</v>
      </c>
      <c r="M748" s="22">
        <v>253794.4</v>
      </c>
      <c r="N748" s="22">
        <v>42.65</v>
      </c>
      <c r="O748" s="23" t="s">
        <v>33</v>
      </c>
      <c r="P748" s="18">
        <v>0.3836</v>
      </c>
      <c r="Q748" s="18">
        <v>1.21</v>
      </c>
    </row>
    <row r="749" spans="1:17" x14ac:dyDescent="0.35">
      <c r="A749" s="12" t="s">
        <v>1297</v>
      </c>
      <c r="B749" s="12" t="s">
        <v>314</v>
      </c>
      <c r="C749" s="13" t="s">
        <v>60</v>
      </c>
      <c r="D749" s="12" t="s">
        <v>61</v>
      </c>
      <c r="E749" s="14" t="s">
        <v>22</v>
      </c>
      <c r="F749" s="15" t="s">
        <v>62</v>
      </c>
      <c r="G749" s="12" t="s">
        <v>32</v>
      </c>
      <c r="H749" s="12">
        <v>149.06</v>
      </c>
      <c r="I749" s="12">
        <v>231.79</v>
      </c>
      <c r="J749" s="12">
        <v>1877</v>
      </c>
      <c r="K749" s="12">
        <v>279785.62</v>
      </c>
      <c r="L749" s="12">
        <v>435069.83</v>
      </c>
      <c r="M749" s="17">
        <v>155284.21</v>
      </c>
      <c r="N749" s="17">
        <v>55.5</v>
      </c>
      <c r="O749" s="16" t="s">
        <v>33</v>
      </c>
      <c r="P749" s="12">
        <v>0.19389999999999999</v>
      </c>
      <c r="Q749" s="12">
        <v>1.5</v>
      </c>
    </row>
    <row r="750" spans="1:17" x14ac:dyDescent="0.35">
      <c r="A750" s="18" t="s">
        <v>1298</v>
      </c>
      <c r="B750" s="18" t="s">
        <v>314</v>
      </c>
      <c r="C750" s="19" t="s">
        <v>178</v>
      </c>
      <c r="D750" s="18" t="s">
        <v>179</v>
      </c>
      <c r="E750" s="20" t="s">
        <v>22</v>
      </c>
      <c r="F750" s="21" t="s">
        <v>62</v>
      </c>
      <c r="G750" s="18" t="s">
        <v>39</v>
      </c>
      <c r="H750" s="18">
        <v>167.99</v>
      </c>
      <c r="I750" s="18">
        <v>149.69999999999999</v>
      </c>
      <c r="J750" s="18">
        <v>3988</v>
      </c>
      <c r="K750" s="18">
        <v>669944.12</v>
      </c>
      <c r="L750" s="18">
        <v>597003.6</v>
      </c>
      <c r="M750" s="23">
        <v>-72940.52</v>
      </c>
      <c r="N750" s="23">
        <v>-10.89</v>
      </c>
      <c r="O750" s="24" t="s">
        <v>45</v>
      </c>
      <c r="P750" s="18">
        <v>0.30909999999999999</v>
      </c>
      <c r="Q750" s="18">
        <v>1.75</v>
      </c>
    </row>
    <row r="751" spans="1:17" x14ac:dyDescent="0.35">
      <c r="A751" s="12" t="s">
        <v>1299</v>
      </c>
      <c r="B751" s="12" t="s">
        <v>1300</v>
      </c>
      <c r="C751" s="13" t="s">
        <v>170</v>
      </c>
      <c r="D751" s="12" t="s">
        <v>171</v>
      </c>
      <c r="E751" s="14" t="s">
        <v>97</v>
      </c>
      <c r="F751" s="15" t="s">
        <v>38</v>
      </c>
      <c r="G751" s="12" t="s">
        <v>32</v>
      </c>
      <c r="H751" s="12">
        <v>145.62</v>
      </c>
      <c r="I751" s="12">
        <v>169.69</v>
      </c>
      <c r="J751" s="12">
        <v>1855</v>
      </c>
      <c r="K751" s="12">
        <v>270125.09999999998</v>
      </c>
      <c r="L751" s="12">
        <v>314774.95</v>
      </c>
      <c r="M751" s="17">
        <v>44649.85</v>
      </c>
      <c r="N751" s="17">
        <v>16.53</v>
      </c>
      <c r="O751" s="25" t="s">
        <v>45</v>
      </c>
      <c r="P751" s="12">
        <v>0.44740000000000002</v>
      </c>
      <c r="Q751" s="12">
        <v>0.98</v>
      </c>
    </row>
    <row r="752" spans="1:17" x14ac:dyDescent="0.35">
      <c r="A752" s="18" t="s">
        <v>1301</v>
      </c>
      <c r="B752" s="18" t="s">
        <v>1217</v>
      </c>
      <c r="C752" s="19" t="s">
        <v>119</v>
      </c>
      <c r="D752" s="18" t="s">
        <v>120</v>
      </c>
      <c r="E752" s="20" t="s">
        <v>44</v>
      </c>
      <c r="F752" s="21" t="s">
        <v>38</v>
      </c>
      <c r="G752" s="18" t="s">
        <v>32</v>
      </c>
      <c r="H752" s="18">
        <v>50.95</v>
      </c>
      <c r="I752" s="18">
        <v>64.709999999999994</v>
      </c>
      <c r="J752" s="18">
        <v>3059</v>
      </c>
      <c r="K752" s="18">
        <v>155856.04999999999</v>
      </c>
      <c r="L752" s="18">
        <v>197947.89</v>
      </c>
      <c r="M752" s="22">
        <v>42091.839999999997</v>
      </c>
      <c r="N752" s="22">
        <v>27.01</v>
      </c>
      <c r="O752" s="23" t="s">
        <v>33</v>
      </c>
      <c r="P752" s="18">
        <v>0.13750000000000001</v>
      </c>
      <c r="Q752" s="18">
        <v>0.99</v>
      </c>
    </row>
    <row r="753" spans="1:17" x14ac:dyDescent="0.35">
      <c r="A753" s="12" t="s">
        <v>1302</v>
      </c>
      <c r="B753" s="12" t="s">
        <v>159</v>
      </c>
      <c r="C753" s="13" t="s">
        <v>20</v>
      </c>
      <c r="D753" s="12" t="s">
        <v>21</v>
      </c>
      <c r="E753" s="14" t="s">
        <v>22</v>
      </c>
      <c r="F753" s="15" t="s">
        <v>38</v>
      </c>
      <c r="G753" s="12" t="s">
        <v>24</v>
      </c>
      <c r="H753" s="12">
        <v>633.66999999999996</v>
      </c>
      <c r="I753" s="12">
        <v>930.71</v>
      </c>
      <c r="J753" s="12">
        <v>2655</v>
      </c>
      <c r="K753" s="12">
        <v>1682393.85</v>
      </c>
      <c r="L753" s="12">
        <v>2471035.0499999998</v>
      </c>
      <c r="M753" s="17">
        <v>788641.2</v>
      </c>
      <c r="N753" s="17">
        <v>46.88</v>
      </c>
      <c r="O753" s="16" t="s">
        <v>33</v>
      </c>
      <c r="P753" s="12">
        <v>0.21709999999999999</v>
      </c>
      <c r="Q753" s="12">
        <v>1.0900000000000001</v>
      </c>
    </row>
    <row r="754" spans="1:17" x14ac:dyDescent="0.35">
      <c r="A754" s="18" t="s">
        <v>1303</v>
      </c>
      <c r="B754" s="18" t="s">
        <v>530</v>
      </c>
      <c r="C754" s="19" t="s">
        <v>42</v>
      </c>
      <c r="D754" s="18" t="s">
        <v>43</v>
      </c>
      <c r="E754" s="20" t="s">
        <v>44</v>
      </c>
      <c r="F754" s="21" t="s">
        <v>38</v>
      </c>
      <c r="G754" s="18" t="s">
        <v>32</v>
      </c>
      <c r="H754" s="18">
        <v>497.08</v>
      </c>
      <c r="I754" s="18">
        <v>784.94</v>
      </c>
      <c r="J754" s="18">
        <v>3110</v>
      </c>
      <c r="K754" s="18">
        <v>1545918.8</v>
      </c>
      <c r="L754" s="18">
        <v>2441163.4</v>
      </c>
      <c r="M754" s="22">
        <v>895244.6</v>
      </c>
      <c r="N754" s="22">
        <v>57.91</v>
      </c>
      <c r="O754" s="23" t="s">
        <v>33</v>
      </c>
      <c r="P754" s="18">
        <v>0.33139999999999997</v>
      </c>
      <c r="Q754" s="18">
        <v>0.73</v>
      </c>
    </row>
    <row r="755" spans="1:17" x14ac:dyDescent="0.35">
      <c r="A755" s="12" t="s">
        <v>1304</v>
      </c>
      <c r="B755" s="12" t="s">
        <v>1059</v>
      </c>
      <c r="C755" s="13" t="s">
        <v>119</v>
      </c>
      <c r="D755" s="12" t="s">
        <v>120</v>
      </c>
      <c r="E755" s="14" t="s">
        <v>44</v>
      </c>
      <c r="F755" s="15" t="s">
        <v>31</v>
      </c>
      <c r="G755" s="12" t="s">
        <v>32</v>
      </c>
      <c r="H755" s="12">
        <v>46.49</v>
      </c>
      <c r="I755" s="12">
        <v>63.53</v>
      </c>
      <c r="J755" s="12">
        <v>1274</v>
      </c>
      <c r="K755" s="12">
        <v>59228.26</v>
      </c>
      <c r="L755" s="12">
        <v>80937.22</v>
      </c>
      <c r="M755" s="17">
        <v>21708.959999999999</v>
      </c>
      <c r="N755" s="17">
        <v>36.65</v>
      </c>
      <c r="O755" s="16" t="s">
        <v>33</v>
      </c>
      <c r="P755" s="12">
        <v>0.54039999999999999</v>
      </c>
      <c r="Q755" s="12">
        <v>1.49</v>
      </c>
    </row>
    <row r="756" spans="1:17" x14ac:dyDescent="0.35">
      <c r="A756" s="18" t="s">
        <v>1305</v>
      </c>
      <c r="B756" s="18" t="s">
        <v>1306</v>
      </c>
      <c r="C756" s="19" t="s">
        <v>170</v>
      </c>
      <c r="D756" s="18" t="s">
        <v>171</v>
      </c>
      <c r="E756" s="20" t="s">
        <v>97</v>
      </c>
      <c r="F756" s="21" t="s">
        <v>23</v>
      </c>
      <c r="G756" s="18" t="s">
        <v>65</v>
      </c>
      <c r="H756" s="18">
        <v>131.96</v>
      </c>
      <c r="I756" s="18">
        <v>194.09</v>
      </c>
      <c r="J756" s="18">
        <v>2874</v>
      </c>
      <c r="K756" s="18">
        <v>379253.04</v>
      </c>
      <c r="L756" s="18">
        <v>557814.66</v>
      </c>
      <c r="M756" s="22">
        <v>178561.62</v>
      </c>
      <c r="N756" s="22">
        <v>47.08</v>
      </c>
      <c r="O756" s="23" t="s">
        <v>33</v>
      </c>
      <c r="P756" s="18">
        <v>0.29380000000000001</v>
      </c>
      <c r="Q756" s="18">
        <v>0.88</v>
      </c>
    </row>
    <row r="757" spans="1:17" x14ac:dyDescent="0.35">
      <c r="A757" s="12" t="s">
        <v>1307</v>
      </c>
      <c r="B757" s="12" t="s">
        <v>1308</v>
      </c>
      <c r="C757" s="13" t="s">
        <v>42</v>
      </c>
      <c r="D757" s="12" t="s">
        <v>43</v>
      </c>
      <c r="E757" s="14" t="s">
        <v>44</v>
      </c>
      <c r="F757" s="15" t="s">
        <v>62</v>
      </c>
      <c r="G757" s="12" t="s">
        <v>24</v>
      </c>
      <c r="H757" s="12">
        <v>512.54</v>
      </c>
      <c r="I757" s="12">
        <v>734.29</v>
      </c>
      <c r="J757" s="12">
        <v>4963</v>
      </c>
      <c r="K757" s="12">
        <v>2543736.02</v>
      </c>
      <c r="L757" s="12">
        <v>3644281.27</v>
      </c>
      <c r="M757" s="17">
        <v>1100545.25</v>
      </c>
      <c r="N757" s="17">
        <v>43.26</v>
      </c>
      <c r="O757" s="16" t="s">
        <v>33</v>
      </c>
      <c r="P757" s="12">
        <v>0.39679999999999999</v>
      </c>
      <c r="Q757" s="12">
        <v>1.08</v>
      </c>
    </row>
    <row r="758" spans="1:17" x14ac:dyDescent="0.35">
      <c r="A758" s="18" t="s">
        <v>1309</v>
      </c>
      <c r="B758" s="18" t="s">
        <v>1310</v>
      </c>
      <c r="C758" s="19" t="s">
        <v>115</v>
      </c>
      <c r="D758" s="18" t="s">
        <v>116</v>
      </c>
      <c r="E758" s="20" t="s">
        <v>55</v>
      </c>
      <c r="F758" s="21" t="s">
        <v>38</v>
      </c>
      <c r="G758" s="18" t="s">
        <v>32</v>
      </c>
      <c r="H758" s="18">
        <v>728.26</v>
      </c>
      <c r="I758" s="18">
        <v>1032.3800000000001</v>
      </c>
      <c r="J758" s="18">
        <v>4289</v>
      </c>
      <c r="K758" s="18">
        <v>3123507.14</v>
      </c>
      <c r="L758" s="18">
        <v>4427877.82</v>
      </c>
      <c r="M758" s="22">
        <v>1304370.68</v>
      </c>
      <c r="N758" s="22">
        <v>41.76</v>
      </c>
      <c r="O758" s="23" t="s">
        <v>33</v>
      </c>
      <c r="P758" s="18">
        <v>0.16650000000000001</v>
      </c>
      <c r="Q758" s="18">
        <v>0.9</v>
      </c>
    </row>
    <row r="759" spans="1:17" x14ac:dyDescent="0.35">
      <c r="A759" s="12" t="s">
        <v>1311</v>
      </c>
      <c r="B759" s="12" t="s">
        <v>1312</v>
      </c>
      <c r="C759" s="13" t="s">
        <v>115</v>
      </c>
      <c r="D759" s="12" t="s">
        <v>116</v>
      </c>
      <c r="E759" s="14" t="s">
        <v>55</v>
      </c>
      <c r="F759" s="15" t="s">
        <v>31</v>
      </c>
      <c r="G759" s="12" t="s">
        <v>32</v>
      </c>
      <c r="H759" s="12">
        <v>835.64</v>
      </c>
      <c r="I759" s="12">
        <v>1221.05</v>
      </c>
      <c r="J759" s="12">
        <v>915</v>
      </c>
      <c r="K759" s="12">
        <v>764610.6</v>
      </c>
      <c r="L759" s="12">
        <v>1117260.75</v>
      </c>
      <c r="M759" s="17">
        <v>352650.15</v>
      </c>
      <c r="N759" s="17">
        <v>46.12</v>
      </c>
      <c r="O759" s="16" t="s">
        <v>33</v>
      </c>
      <c r="P759" s="12">
        <v>0.3342</v>
      </c>
      <c r="Q759" s="12">
        <v>0.63</v>
      </c>
    </row>
    <row r="760" spans="1:17" x14ac:dyDescent="0.35">
      <c r="A760" s="18" t="s">
        <v>1313</v>
      </c>
      <c r="B760" s="18" t="s">
        <v>1175</v>
      </c>
      <c r="C760" s="19" t="s">
        <v>170</v>
      </c>
      <c r="D760" s="18" t="s">
        <v>171</v>
      </c>
      <c r="E760" s="20" t="s">
        <v>97</v>
      </c>
      <c r="F760" s="21" t="s">
        <v>23</v>
      </c>
      <c r="G760" s="18" t="s">
        <v>65</v>
      </c>
      <c r="H760" s="18">
        <v>150.31</v>
      </c>
      <c r="I760" s="18">
        <v>142.41</v>
      </c>
      <c r="J760" s="18">
        <v>2580</v>
      </c>
      <c r="K760" s="18">
        <v>387799.8</v>
      </c>
      <c r="L760" s="18">
        <v>367417.8</v>
      </c>
      <c r="M760" s="23">
        <v>-20382</v>
      </c>
      <c r="N760" s="23">
        <v>-5.26</v>
      </c>
      <c r="O760" s="22" t="s">
        <v>25</v>
      </c>
      <c r="P760" s="18">
        <v>0.15290000000000001</v>
      </c>
      <c r="Q760" s="18">
        <v>1.5</v>
      </c>
    </row>
    <row r="761" spans="1:17" x14ac:dyDescent="0.35">
      <c r="A761" s="12" t="s">
        <v>1314</v>
      </c>
      <c r="B761" s="12" t="s">
        <v>1315</v>
      </c>
      <c r="C761" s="13" t="s">
        <v>115</v>
      </c>
      <c r="D761" s="12" t="s">
        <v>116</v>
      </c>
      <c r="E761" s="14" t="s">
        <v>55</v>
      </c>
      <c r="F761" s="15" t="s">
        <v>98</v>
      </c>
      <c r="G761" s="12" t="s">
        <v>39</v>
      </c>
      <c r="H761" s="12">
        <v>777.72</v>
      </c>
      <c r="I761" s="12">
        <v>575.79999999999995</v>
      </c>
      <c r="J761" s="12">
        <v>4178</v>
      </c>
      <c r="K761" s="12">
        <v>3249314.16</v>
      </c>
      <c r="L761" s="12">
        <v>2405692.4</v>
      </c>
      <c r="M761" s="16">
        <v>-843621.76</v>
      </c>
      <c r="N761" s="16">
        <v>-25.96</v>
      </c>
      <c r="O761" s="16" t="s">
        <v>33</v>
      </c>
      <c r="P761" s="12">
        <v>0.26779999999999998</v>
      </c>
      <c r="Q761" s="12">
        <v>1.63</v>
      </c>
    </row>
    <row r="762" spans="1:17" x14ac:dyDescent="0.35">
      <c r="A762" s="18" t="s">
        <v>1316</v>
      </c>
      <c r="B762" s="18" t="s">
        <v>1317</v>
      </c>
      <c r="C762" s="19" t="s">
        <v>36</v>
      </c>
      <c r="D762" s="18" t="s">
        <v>37</v>
      </c>
      <c r="E762" s="20" t="s">
        <v>30</v>
      </c>
      <c r="F762" s="21" t="s">
        <v>38</v>
      </c>
      <c r="G762" s="18" t="s">
        <v>32</v>
      </c>
      <c r="H762" s="18">
        <v>202.67</v>
      </c>
      <c r="I762" s="18">
        <v>222.98</v>
      </c>
      <c r="J762" s="18">
        <v>1075</v>
      </c>
      <c r="K762" s="18">
        <v>217870.25</v>
      </c>
      <c r="L762" s="18">
        <v>239703.5</v>
      </c>
      <c r="M762" s="22">
        <v>21833.25</v>
      </c>
      <c r="N762" s="22">
        <v>10.02</v>
      </c>
      <c r="O762" s="24" t="s">
        <v>45</v>
      </c>
      <c r="P762" s="18">
        <v>0.28179999999999999</v>
      </c>
      <c r="Q762" s="18">
        <v>1.1499999999999999</v>
      </c>
    </row>
    <row r="763" spans="1:17" x14ac:dyDescent="0.35">
      <c r="A763" s="12" t="s">
        <v>1318</v>
      </c>
      <c r="B763" s="12" t="s">
        <v>367</v>
      </c>
      <c r="C763" s="13" t="s">
        <v>103</v>
      </c>
      <c r="D763" s="12" t="s">
        <v>104</v>
      </c>
      <c r="E763" s="14" t="s">
        <v>22</v>
      </c>
      <c r="F763" s="15" t="s">
        <v>23</v>
      </c>
      <c r="G763" s="12" t="s">
        <v>24</v>
      </c>
      <c r="H763" s="12">
        <v>313.35000000000002</v>
      </c>
      <c r="I763" s="12">
        <v>344.28</v>
      </c>
      <c r="J763" s="12">
        <v>4126</v>
      </c>
      <c r="K763" s="12">
        <v>1292882.1000000001</v>
      </c>
      <c r="L763" s="12">
        <v>1420499.28</v>
      </c>
      <c r="M763" s="17">
        <v>127617.18</v>
      </c>
      <c r="N763" s="17">
        <v>9.8699999999999992</v>
      </c>
      <c r="O763" s="25" t="s">
        <v>45</v>
      </c>
      <c r="P763" s="12">
        <v>0.2873</v>
      </c>
      <c r="Q763" s="12">
        <v>1.52</v>
      </c>
    </row>
    <row r="764" spans="1:17" x14ac:dyDescent="0.35">
      <c r="A764" s="18" t="s">
        <v>1319</v>
      </c>
      <c r="B764" s="18" t="s">
        <v>1320</v>
      </c>
      <c r="C764" s="19" t="s">
        <v>28</v>
      </c>
      <c r="D764" s="18" t="s">
        <v>29</v>
      </c>
      <c r="E764" s="20" t="s">
        <v>30</v>
      </c>
      <c r="F764" s="21" t="s">
        <v>62</v>
      </c>
      <c r="G764" s="18" t="s">
        <v>39</v>
      </c>
      <c r="H764" s="18">
        <v>245.2</v>
      </c>
      <c r="I764" s="18">
        <v>205.7</v>
      </c>
      <c r="J764" s="18">
        <v>4518</v>
      </c>
      <c r="K764" s="18">
        <v>1107813.6000000001</v>
      </c>
      <c r="L764" s="18">
        <v>929352.6</v>
      </c>
      <c r="M764" s="23">
        <v>-178461</v>
      </c>
      <c r="N764" s="23">
        <v>-16.11</v>
      </c>
      <c r="O764" s="24" t="s">
        <v>45</v>
      </c>
      <c r="P764" s="18">
        <v>0.4874</v>
      </c>
      <c r="Q764" s="18">
        <v>1.21</v>
      </c>
    </row>
    <row r="765" spans="1:17" x14ac:dyDescent="0.35">
      <c r="A765" s="12" t="s">
        <v>1321</v>
      </c>
      <c r="B765" s="12" t="s">
        <v>677</v>
      </c>
      <c r="C765" s="13" t="s">
        <v>77</v>
      </c>
      <c r="D765" s="12" t="s">
        <v>78</v>
      </c>
      <c r="E765" s="14" t="s">
        <v>44</v>
      </c>
      <c r="F765" s="15" t="s">
        <v>62</v>
      </c>
      <c r="G765" s="12" t="s">
        <v>39</v>
      </c>
      <c r="H765" s="12">
        <v>170.79</v>
      </c>
      <c r="I765" s="12">
        <v>133.6</v>
      </c>
      <c r="J765" s="12">
        <v>3194</v>
      </c>
      <c r="K765" s="12">
        <v>545503.26</v>
      </c>
      <c r="L765" s="12">
        <v>426718.4</v>
      </c>
      <c r="M765" s="16">
        <v>-118784.86</v>
      </c>
      <c r="N765" s="16">
        <v>-21.78</v>
      </c>
      <c r="O765" s="25" t="s">
        <v>45</v>
      </c>
      <c r="P765" s="12">
        <v>0.54039999999999999</v>
      </c>
      <c r="Q765" s="12">
        <v>0.98</v>
      </c>
    </row>
    <row r="766" spans="1:17" x14ac:dyDescent="0.35">
      <c r="A766" s="18" t="s">
        <v>1322</v>
      </c>
      <c r="B766" s="18" t="s">
        <v>828</v>
      </c>
      <c r="C766" s="19" t="s">
        <v>178</v>
      </c>
      <c r="D766" s="18" t="s">
        <v>179</v>
      </c>
      <c r="E766" s="20" t="s">
        <v>22</v>
      </c>
      <c r="F766" s="21" t="s">
        <v>23</v>
      </c>
      <c r="G766" s="18" t="s">
        <v>32</v>
      </c>
      <c r="H766" s="18">
        <v>167.07</v>
      </c>
      <c r="I766" s="18">
        <v>233.8</v>
      </c>
      <c r="J766" s="18">
        <v>3101</v>
      </c>
      <c r="K766" s="18">
        <v>518084.07</v>
      </c>
      <c r="L766" s="18">
        <v>725013.8</v>
      </c>
      <c r="M766" s="22">
        <v>206929.73</v>
      </c>
      <c r="N766" s="22">
        <v>39.94</v>
      </c>
      <c r="O766" s="23" t="s">
        <v>33</v>
      </c>
      <c r="P766" s="18">
        <v>0.13159999999999999</v>
      </c>
      <c r="Q766" s="18">
        <v>1.67</v>
      </c>
    </row>
    <row r="767" spans="1:17" x14ac:dyDescent="0.35">
      <c r="A767" s="12" t="s">
        <v>1323</v>
      </c>
      <c r="B767" s="12" t="s">
        <v>57</v>
      </c>
      <c r="C767" s="13" t="s">
        <v>215</v>
      </c>
      <c r="D767" s="12" t="s">
        <v>216</v>
      </c>
      <c r="E767" s="14" t="s">
        <v>50</v>
      </c>
      <c r="F767" s="15" t="s">
        <v>38</v>
      </c>
      <c r="G767" s="12" t="s">
        <v>32</v>
      </c>
      <c r="H767" s="12">
        <v>183.61</v>
      </c>
      <c r="I767" s="12">
        <v>214.52</v>
      </c>
      <c r="J767" s="12">
        <v>2927</v>
      </c>
      <c r="K767" s="12">
        <v>537426.47</v>
      </c>
      <c r="L767" s="12">
        <v>627900.04</v>
      </c>
      <c r="M767" s="17">
        <v>90473.57</v>
      </c>
      <c r="N767" s="17">
        <v>16.829999999999998</v>
      </c>
      <c r="O767" s="25" t="s">
        <v>45</v>
      </c>
      <c r="P767" s="12">
        <v>0.14430000000000001</v>
      </c>
      <c r="Q767" s="12">
        <v>0.89</v>
      </c>
    </row>
    <row r="768" spans="1:17" x14ac:dyDescent="0.35">
      <c r="A768" s="18" t="s">
        <v>1324</v>
      </c>
      <c r="B768" s="18" t="s">
        <v>1325</v>
      </c>
      <c r="C768" s="19" t="s">
        <v>150</v>
      </c>
      <c r="D768" s="18" t="s">
        <v>151</v>
      </c>
      <c r="E768" s="20" t="s">
        <v>55</v>
      </c>
      <c r="F768" s="21" t="s">
        <v>62</v>
      </c>
      <c r="G768" s="18" t="s">
        <v>24</v>
      </c>
      <c r="H768" s="18">
        <v>174.08</v>
      </c>
      <c r="I768" s="18">
        <v>161.16999999999999</v>
      </c>
      <c r="J768" s="18">
        <v>795</v>
      </c>
      <c r="K768" s="18">
        <v>138393.60000000001</v>
      </c>
      <c r="L768" s="18">
        <v>128130.15</v>
      </c>
      <c r="M768" s="23">
        <v>-10263.450000000001</v>
      </c>
      <c r="N768" s="23">
        <v>-7.42</v>
      </c>
      <c r="O768" s="22" t="s">
        <v>25</v>
      </c>
      <c r="P768" s="18">
        <v>0.25109999999999999</v>
      </c>
      <c r="Q768" s="18">
        <v>1.01</v>
      </c>
    </row>
    <row r="769" spans="1:17" x14ac:dyDescent="0.35">
      <c r="A769" s="12" t="s">
        <v>1326</v>
      </c>
      <c r="B769" s="12" t="s">
        <v>69</v>
      </c>
      <c r="C769" s="13" t="s">
        <v>178</v>
      </c>
      <c r="D769" s="12" t="s">
        <v>179</v>
      </c>
      <c r="E769" s="14" t="s">
        <v>22</v>
      </c>
      <c r="F769" s="15" t="s">
        <v>31</v>
      </c>
      <c r="G769" s="12" t="s">
        <v>65</v>
      </c>
      <c r="H769" s="12">
        <v>183.28</v>
      </c>
      <c r="I769" s="12">
        <v>215.49</v>
      </c>
      <c r="J769" s="12">
        <v>3875</v>
      </c>
      <c r="K769" s="12">
        <v>710210</v>
      </c>
      <c r="L769" s="12">
        <v>835023.75</v>
      </c>
      <c r="M769" s="17">
        <v>124813.75</v>
      </c>
      <c r="N769" s="17">
        <v>17.57</v>
      </c>
      <c r="O769" s="25" t="s">
        <v>45</v>
      </c>
      <c r="P769" s="12">
        <v>0.34129999999999999</v>
      </c>
      <c r="Q769" s="12">
        <v>1.1100000000000001</v>
      </c>
    </row>
    <row r="770" spans="1:17" x14ac:dyDescent="0.35">
      <c r="A770" s="18" t="s">
        <v>1327</v>
      </c>
      <c r="B770" s="18" t="s">
        <v>191</v>
      </c>
      <c r="C770" s="19" t="s">
        <v>178</v>
      </c>
      <c r="D770" s="18" t="s">
        <v>179</v>
      </c>
      <c r="E770" s="20" t="s">
        <v>22</v>
      </c>
      <c r="F770" s="21" t="s">
        <v>62</v>
      </c>
      <c r="G770" s="18" t="s">
        <v>39</v>
      </c>
      <c r="H770" s="18">
        <v>200.5</v>
      </c>
      <c r="I770" s="18">
        <v>159.15</v>
      </c>
      <c r="J770" s="18">
        <v>282</v>
      </c>
      <c r="K770" s="18">
        <v>56541</v>
      </c>
      <c r="L770" s="18">
        <v>44880.3</v>
      </c>
      <c r="M770" s="23">
        <v>-11660.7</v>
      </c>
      <c r="N770" s="23">
        <v>-20.62</v>
      </c>
      <c r="O770" s="24" t="s">
        <v>45</v>
      </c>
      <c r="P770" s="18">
        <v>0.2878</v>
      </c>
      <c r="Q770" s="18">
        <v>1.29</v>
      </c>
    </row>
    <row r="771" spans="1:17" x14ac:dyDescent="0.35">
      <c r="A771" s="12" t="s">
        <v>1328</v>
      </c>
      <c r="B771" s="12" t="s">
        <v>822</v>
      </c>
      <c r="C771" s="13" t="s">
        <v>115</v>
      </c>
      <c r="D771" s="12" t="s">
        <v>116</v>
      </c>
      <c r="E771" s="14" t="s">
        <v>55</v>
      </c>
      <c r="F771" s="15" t="s">
        <v>98</v>
      </c>
      <c r="G771" s="12" t="s">
        <v>39</v>
      </c>
      <c r="H771" s="12">
        <v>780.65</v>
      </c>
      <c r="I771" s="12">
        <v>758.68</v>
      </c>
      <c r="J771" s="12">
        <v>4169</v>
      </c>
      <c r="K771" s="12">
        <v>3254529.85</v>
      </c>
      <c r="L771" s="12">
        <v>3162936.92</v>
      </c>
      <c r="M771" s="16">
        <v>-91592.93</v>
      </c>
      <c r="N771" s="16">
        <v>-2.81</v>
      </c>
      <c r="O771" s="17" t="s">
        <v>25</v>
      </c>
      <c r="P771" s="12">
        <v>0.26600000000000001</v>
      </c>
      <c r="Q771" s="12">
        <v>1.34</v>
      </c>
    </row>
    <row r="772" spans="1:17" x14ac:dyDescent="0.35">
      <c r="A772" s="18" t="s">
        <v>1329</v>
      </c>
      <c r="B772" s="18" t="s">
        <v>358</v>
      </c>
      <c r="C772" s="19" t="s">
        <v>48</v>
      </c>
      <c r="D772" s="18" t="s">
        <v>49</v>
      </c>
      <c r="E772" s="20" t="s">
        <v>50</v>
      </c>
      <c r="F772" s="21" t="s">
        <v>38</v>
      </c>
      <c r="G772" s="18" t="s">
        <v>39</v>
      </c>
      <c r="H772" s="18">
        <v>71.64</v>
      </c>
      <c r="I772" s="18">
        <v>62.07</v>
      </c>
      <c r="J772" s="18">
        <v>717</v>
      </c>
      <c r="K772" s="18">
        <v>51365.88</v>
      </c>
      <c r="L772" s="18">
        <v>44504.19</v>
      </c>
      <c r="M772" s="23">
        <v>-6861.69</v>
      </c>
      <c r="N772" s="23">
        <v>-13.36</v>
      </c>
      <c r="O772" s="24" t="s">
        <v>45</v>
      </c>
      <c r="P772" s="18">
        <v>0.24360000000000001</v>
      </c>
      <c r="Q772" s="18">
        <v>0.66</v>
      </c>
    </row>
    <row r="773" spans="1:17" x14ac:dyDescent="0.35">
      <c r="A773" s="12" t="s">
        <v>1330</v>
      </c>
      <c r="B773" s="12" t="s">
        <v>1331</v>
      </c>
      <c r="C773" s="13" t="s">
        <v>28</v>
      </c>
      <c r="D773" s="12" t="s">
        <v>29</v>
      </c>
      <c r="E773" s="14" t="s">
        <v>30</v>
      </c>
      <c r="F773" s="15" t="s">
        <v>62</v>
      </c>
      <c r="G773" s="12" t="s">
        <v>39</v>
      </c>
      <c r="H773" s="12">
        <v>255.67</v>
      </c>
      <c r="I773" s="12">
        <v>226.52</v>
      </c>
      <c r="J773" s="12">
        <v>853</v>
      </c>
      <c r="K773" s="12">
        <v>218086.51</v>
      </c>
      <c r="L773" s="12">
        <v>193221.56</v>
      </c>
      <c r="M773" s="16">
        <v>-24864.95</v>
      </c>
      <c r="N773" s="16">
        <v>-11.4</v>
      </c>
      <c r="O773" s="25" t="s">
        <v>45</v>
      </c>
      <c r="P773" s="12">
        <v>0.3745</v>
      </c>
      <c r="Q773" s="12">
        <v>0.93</v>
      </c>
    </row>
    <row r="774" spans="1:17" x14ac:dyDescent="0.35">
      <c r="A774" s="18" t="s">
        <v>1332</v>
      </c>
      <c r="B774" s="18" t="s">
        <v>346</v>
      </c>
      <c r="C774" s="19" t="s">
        <v>28</v>
      </c>
      <c r="D774" s="18" t="s">
        <v>29</v>
      </c>
      <c r="E774" s="20" t="s">
        <v>30</v>
      </c>
      <c r="F774" s="21" t="s">
        <v>38</v>
      </c>
      <c r="G774" s="18" t="s">
        <v>39</v>
      </c>
      <c r="H774" s="18">
        <v>229.01</v>
      </c>
      <c r="I774" s="18">
        <v>150.06</v>
      </c>
      <c r="J774" s="18">
        <v>1818</v>
      </c>
      <c r="K774" s="18">
        <v>416340.18</v>
      </c>
      <c r="L774" s="18">
        <v>272809.08</v>
      </c>
      <c r="M774" s="23">
        <v>-143531.1</v>
      </c>
      <c r="N774" s="23">
        <v>-34.47</v>
      </c>
      <c r="O774" s="23" t="s">
        <v>33</v>
      </c>
      <c r="P774" s="18">
        <v>0.47420000000000001</v>
      </c>
      <c r="Q774" s="18">
        <v>1.21</v>
      </c>
    </row>
    <row r="775" spans="1:17" x14ac:dyDescent="0.35">
      <c r="A775" s="12" t="s">
        <v>1333</v>
      </c>
      <c r="B775" s="12" t="s">
        <v>1334</v>
      </c>
      <c r="C775" s="13" t="s">
        <v>137</v>
      </c>
      <c r="D775" s="12" t="s">
        <v>138</v>
      </c>
      <c r="E775" s="14" t="s">
        <v>50</v>
      </c>
      <c r="F775" s="15" t="s">
        <v>23</v>
      </c>
      <c r="G775" s="12" t="s">
        <v>65</v>
      </c>
      <c r="H775" s="12">
        <v>101.92</v>
      </c>
      <c r="I775" s="12">
        <v>134.28</v>
      </c>
      <c r="J775" s="12">
        <v>3494</v>
      </c>
      <c r="K775" s="12">
        <v>356108.48</v>
      </c>
      <c r="L775" s="12">
        <v>469174.32</v>
      </c>
      <c r="M775" s="17">
        <v>113065.84</v>
      </c>
      <c r="N775" s="17">
        <v>31.75</v>
      </c>
      <c r="O775" s="16" t="s">
        <v>33</v>
      </c>
      <c r="P775" s="12">
        <v>0.31490000000000001</v>
      </c>
      <c r="Q775" s="12">
        <v>1.52</v>
      </c>
    </row>
    <row r="776" spans="1:17" x14ac:dyDescent="0.35">
      <c r="A776" s="18" t="s">
        <v>1335</v>
      </c>
      <c r="B776" s="18" t="s">
        <v>808</v>
      </c>
      <c r="C776" s="19" t="s">
        <v>170</v>
      </c>
      <c r="D776" s="18" t="s">
        <v>171</v>
      </c>
      <c r="E776" s="20" t="s">
        <v>97</v>
      </c>
      <c r="F776" s="21" t="s">
        <v>62</v>
      </c>
      <c r="G776" s="18" t="s">
        <v>32</v>
      </c>
      <c r="H776" s="18">
        <v>132.51</v>
      </c>
      <c r="I776" s="18">
        <v>205.85</v>
      </c>
      <c r="J776" s="18">
        <v>4189</v>
      </c>
      <c r="K776" s="18">
        <v>555084.39</v>
      </c>
      <c r="L776" s="18">
        <v>862305.65</v>
      </c>
      <c r="M776" s="22">
        <v>307221.26</v>
      </c>
      <c r="N776" s="22">
        <v>55.35</v>
      </c>
      <c r="O776" s="23" t="s">
        <v>33</v>
      </c>
      <c r="P776" s="18">
        <v>0.43909999999999999</v>
      </c>
      <c r="Q776" s="18">
        <v>1.1599999999999999</v>
      </c>
    </row>
    <row r="777" spans="1:17" x14ac:dyDescent="0.35">
      <c r="A777" s="12" t="s">
        <v>1336</v>
      </c>
      <c r="B777" s="12" t="s">
        <v>373</v>
      </c>
      <c r="C777" s="13" t="s">
        <v>36</v>
      </c>
      <c r="D777" s="12" t="s">
        <v>37</v>
      </c>
      <c r="E777" s="14" t="s">
        <v>30</v>
      </c>
      <c r="F777" s="15" t="s">
        <v>62</v>
      </c>
      <c r="G777" s="12" t="s">
        <v>32</v>
      </c>
      <c r="H777" s="12">
        <v>211.4</v>
      </c>
      <c r="I777" s="12">
        <v>239.94</v>
      </c>
      <c r="J777" s="12">
        <v>590</v>
      </c>
      <c r="K777" s="12">
        <v>124726</v>
      </c>
      <c r="L777" s="12">
        <v>141564.6</v>
      </c>
      <c r="M777" s="17">
        <v>16838.599999999999</v>
      </c>
      <c r="N777" s="17">
        <v>13.5</v>
      </c>
      <c r="O777" s="25" t="s">
        <v>45</v>
      </c>
      <c r="P777" s="12">
        <v>0.1835</v>
      </c>
      <c r="Q777" s="12">
        <v>0.78</v>
      </c>
    </row>
    <row r="778" spans="1:17" x14ac:dyDescent="0.35">
      <c r="A778" s="18" t="s">
        <v>1337</v>
      </c>
      <c r="B778" s="18" t="s">
        <v>693</v>
      </c>
      <c r="C778" s="19" t="s">
        <v>137</v>
      </c>
      <c r="D778" s="18" t="s">
        <v>138</v>
      </c>
      <c r="E778" s="20" t="s">
        <v>50</v>
      </c>
      <c r="F778" s="21" t="s">
        <v>98</v>
      </c>
      <c r="G778" s="18" t="s">
        <v>32</v>
      </c>
      <c r="H778" s="18">
        <v>109.22</v>
      </c>
      <c r="I778" s="18">
        <v>160.79</v>
      </c>
      <c r="J778" s="18">
        <v>627</v>
      </c>
      <c r="K778" s="18">
        <v>68480.94</v>
      </c>
      <c r="L778" s="18">
        <v>100815.33</v>
      </c>
      <c r="M778" s="22">
        <v>32334.39</v>
      </c>
      <c r="N778" s="22">
        <v>47.22</v>
      </c>
      <c r="O778" s="23" t="s">
        <v>33</v>
      </c>
      <c r="P778" s="18">
        <v>0.23480000000000001</v>
      </c>
      <c r="Q778" s="18">
        <v>0.94</v>
      </c>
    </row>
    <row r="779" spans="1:17" x14ac:dyDescent="0.35">
      <c r="A779" s="12" t="s">
        <v>1338</v>
      </c>
      <c r="B779" s="12" t="s">
        <v>1339</v>
      </c>
      <c r="C779" s="13" t="s">
        <v>170</v>
      </c>
      <c r="D779" s="12" t="s">
        <v>171</v>
      </c>
      <c r="E779" s="14" t="s">
        <v>97</v>
      </c>
      <c r="F779" s="15" t="s">
        <v>38</v>
      </c>
      <c r="G779" s="12" t="s">
        <v>39</v>
      </c>
      <c r="H779" s="12">
        <v>128.19</v>
      </c>
      <c r="I779" s="12">
        <v>90.79</v>
      </c>
      <c r="J779" s="12">
        <v>2053</v>
      </c>
      <c r="K779" s="12">
        <v>263174.07</v>
      </c>
      <c r="L779" s="12">
        <v>186391.87</v>
      </c>
      <c r="M779" s="16">
        <v>-76782.2</v>
      </c>
      <c r="N779" s="16">
        <v>-29.18</v>
      </c>
      <c r="O779" s="16" t="s">
        <v>33</v>
      </c>
      <c r="P779" s="12">
        <v>0.22559999999999999</v>
      </c>
      <c r="Q779" s="12">
        <v>1.59</v>
      </c>
    </row>
    <row r="780" spans="1:17" x14ac:dyDescent="0.35">
      <c r="A780" s="18" t="s">
        <v>1340</v>
      </c>
      <c r="B780" s="18" t="s">
        <v>350</v>
      </c>
      <c r="C780" s="19" t="s">
        <v>119</v>
      </c>
      <c r="D780" s="18" t="s">
        <v>120</v>
      </c>
      <c r="E780" s="20" t="s">
        <v>44</v>
      </c>
      <c r="F780" s="21" t="s">
        <v>38</v>
      </c>
      <c r="G780" s="18" t="s">
        <v>32</v>
      </c>
      <c r="H780" s="18">
        <v>43.71</v>
      </c>
      <c r="I780" s="18">
        <v>46.81</v>
      </c>
      <c r="J780" s="18">
        <v>403</v>
      </c>
      <c r="K780" s="18">
        <v>17615.13</v>
      </c>
      <c r="L780" s="18">
        <v>18864.43</v>
      </c>
      <c r="M780" s="22">
        <v>1249.3</v>
      </c>
      <c r="N780" s="22">
        <v>7.09</v>
      </c>
      <c r="O780" s="22" t="s">
        <v>25</v>
      </c>
      <c r="P780" s="18">
        <v>0.13250000000000001</v>
      </c>
      <c r="Q780" s="18">
        <v>1.55</v>
      </c>
    </row>
    <row r="781" spans="1:17" x14ac:dyDescent="0.35">
      <c r="A781" s="12" t="s">
        <v>1341</v>
      </c>
      <c r="B781" s="12" t="s">
        <v>169</v>
      </c>
      <c r="C781" s="13" t="s">
        <v>83</v>
      </c>
      <c r="D781" s="12" t="s">
        <v>84</v>
      </c>
      <c r="E781" s="14" t="s">
        <v>55</v>
      </c>
      <c r="F781" s="15" t="s">
        <v>31</v>
      </c>
      <c r="G781" s="12" t="s">
        <v>32</v>
      </c>
      <c r="H781" s="12">
        <v>412.17</v>
      </c>
      <c r="I781" s="12">
        <v>378.67</v>
      </c>
      <c r="J781" s="12">
        <v>4080</v>
      </c>
      <c r="K781" s="12">
        <v>1681653.6</v>
      </c>
      <c r="L781" s="12">
        <v>1544973.6</v>
      </c>
      <c r="M781" s="16">
        <v>-136680</v>
      </c>
      <c r="N781" s="16">
        <v>-8.1300000000000008</v>
      </c>
      <c r="O781" s="25" t="s">
        <v>45</v>
      </c>
      <c r="P781" s="12">
        <v>0.50549999999999995</v>
      </c>
      <c r="Q781" s="12">
        <v>0.98</v>
      </c>
    </row>
    <row r="782" spans="1:17" x14ac:dyDescent="0.35">
      <c r="A782" s="18" t="s">
        <v>1342</v>
      </c>
      <c r="B782" s="18" t="s">
        <v>1343</v>
      </c>
      <c r="C782" s="19" t="s">
        <v>137</v>
      </c>
      <c r="D782" s="18" t="s">
        <v>138</v>
      </c>
      <c r="E782" s="20" t="s">
        <v>50</v>
      </c>
      <c r="F782" s="21" t="s">
        <v>98</v>
      </c>
      <c r="G782" s="18" t="s">
        <v>32</v>
      </c>
      <c r="H782" s="18">
        <v>101.75</v>
      </c>
      <c r="I782" s="18">
        <v>149.36000000000001</v>
      </c>
      <c r="J782" s="18">
        <v>839</v>
      </c>
      <c r="K782" s="18">
        <v>85368.25</v>
      </c>
      <c r="L782" s="18">
        <v>125313.04</v>
      </c>
      <c r="M782" s="22">
        <v>39944.79</v>
      </c>
      <c r="N782" s="22">
        <v>46.79</v>
      </c>
      <c r="O782" s="23" t="s">
        <v>33</v>
      </c>
      <c r="P782" s="18">
        <v>0.4824</v>
      </c>
      <c r="Q782" s="18">
        <v>0.88</v>
      </c>
    </row>
    <row r="783" spans="1:17" x14ac:dyDescent="0.35">
      <c r="A783" s="12" t="s">
        <v>1344</v>
      </c>
      <c r="B783" s="12" t="s">
        <v>82</v>
      </c>
      <c r="C783" s="13" t="s">
        <v>28</v>
      </c>
      <c r="D783" s="12" t="s">
        <v>29</v>
      </c>
      <c r="E783" s="14" t="s">
        <v>30</v>
      </c>
      <c r="F783" s="15" t="s">
        <v>62</v>
      </c>
      <c r="G783" s="12" t="s">
        <v>32</v>
      </c>
      <c r="H783" s="12">
        <v>272.38</v>
      </c>
      <c r="I783" s="12">
        <v>417.31</v>
      </c>
      <c r="J783" s="12">
        <v>4854</v>
      </c>
      <c r="K783" s="12">
        <v>1322132.52</v>
      </c>
      <c r="L783" s="12">
        <v>2025622.74</v>
      </c>
      <c r="M783" s="17">
        <v>703490.22</v>
      </c>
      <c r="N783" s="17">
        <v>53.21</v>
      </c>
      <c r="O783" s="16" t="s">
        <v>33</v>
      </c>
      <c r="P783" s="12">
        <v>0.2283</v>
      </c>
      <c r="Q783" s="12">
        <v>1.66</v>
      </c>
    </row>
    <row r="784" spans="1:17" x14ac:dyDescent="0.35">
      <c r="A784" s="18" t="s">
        <v>1345</v>
      </c>
      <c r="B784" s="18" t="s">
        <v>1346</v>
      </c>
      <c r="C784" s="19" t="s">
        <v>150</v>
      </c>
      <c r="D784" s="18" t="s">
        <v>151</v>
      </c>
      <c r="E784" s="20" t="s">
        <v>55</v>
      </c>
      <c r="F784" s="21" t="s">
        <v>98</v>
      </c>
      <c r="G784" s="18" t="s">
        <v>32</v>
      </c>
      <c r="H784" s="18">
        <v>170.45</v>
      </c>
      <c r="I784" s="18">
        <v>237.96</v>
      </c>
      <c r="J784" s="18">
        <v>2797</v>
      </c>
      <c r="K784" s="18">
        <v>476748.65</v>
      </c>
      <c r="L784" s="18">
        <v>665574.12</v>
      </c>
      <c r="M784" s="22">
        <v>188825.47</v>
      </c>
      <c r="N784" s="22">
        <v>39.61</v>
      </c>
      <c r="O784" s="23" t="s">
        <v>33</v>
      </c>
      <c r="P784" s="18">
        <v>0.46650000000000003</v>
      </c>
      <c r="Q784" s="18">
        <v>1.49</v>
      </c>
    </row>
    <row r="785" spans="1:17" x14ac:dyDescent="0.35">
      <c r="A785" s="12" t="s">
        <v>1347</v>
      </c>
      <c r="B785" s="12" t="s">
        <v>559</v>
      </c>
      <c r="C785" s="13" t="s">
        <v>42</v>
      </c>
      <c r="D785" s="12" t="s">
        <v>43</v>
      </c>
      <c r="E785" s="14" t="s">
        <v>44</v>
      </c>
      <c r="F785" s="15" t="s">
        <v>31</v>
      </c>
      <c r="G785" s="12" t="s">
        <v>32</v>
      </c>
      <c r="H785" s="12">
        <v>502.83</v>
      </c>
      <c r="I785" s="12">
        <v>539.13</v>
      </c>
      <c r="J785" s="12">
        <v>1534</v>
      </c>
      <c r="K785" s="12">
        <v>771341.22</v>
      </c>
      <c r="L785" s="12">
        <v>827025.42</v>
      </c>
      <c r="M785" s="17">
        <v>55684.2</v>
      </c>
      <c r="N785" s="17">
        <v>7.22</v>
      </c>
      <c r="O785" s="17" t="s">
        <v>25</v>
      </c>
      <c r="P785" s="12">
        <v>0.29559999999999997</v>
      </c>
      <c r="Q785" s="12">
        <v>1.64</v>
      </c>
    </row>
    <row r="786" spans="1:17" x14ac:dyDescent="0.35">
      <c r="A786" s="18" t="s">
        <v>1348</v>
      </c>
      <c r="B786" s="18" t="s">
        <v>1349</v>
      </c>
      <c r="C786" s="19" t="s">
        <v>103</v>
      </c>
      <c r="D786" s="18" t="s">
        <v>104</v>
      </c>
      <c r="E786" s="20" t="s">
        <v>22</v>
      </c>
      <c r="F786" s="21" t="s">
        <v>31</v>
      </c>
      <c r="G786" s="18" t="s">
        <v>65</v>
      </c>
      <c r="H786" s="18">
        <v>324.39</v>
      </c>
      <c r="I786" s="18">
        <v>393.29</v>
      </c>
      <c r="J786" s="18">
        <v>2692</v>
      </c>
      <c r="K786" s="18">
        <v>873257.88</v>
      </c>
      <c r="L786" s="18">
        <v>1058736.68</v>
      </c>
      <c r="M786" s="22">
        <v>185478.8</v>
      </c>
      <c r="N786" s="22">
        <v>21.24</v>
      </c>
      <c r="O786" s="24" t="s">
        <v>45</v>
      </c>
      <c r="P786" s="18">
        <v>0.22589999999999999</v>
      </c>
      <c r="Q786" s="18">
        <v>0.93</v>
      </c>
    </row>
    <row r="787" spans="1:17" x14ac:dyDescent="0.35">
      <c r="A787" s="12" t="s">
        <v>1350</v>
      </c>
      <c r="B787" s="12" t="s">
        <v>1351</v>
      </c>
      <c r="C787" s="13" t="s">
        <v>87</v>
      </c>
      <c r="D787" s="12" t="s">
        <v>88</v>
      </c>
      <c r="E787" s="14" t="s">
        <v>22</v>
      </c>
      <c r="F787" s="15" t="s">
        <v>98</v>
      </c>
      <c r="G787" s="12" t="s">
        <v>39</v>
      </c>
      <c r="H787" s="12">
        <v>299.70999999999998</v>
      </c>
      <c r="I787" s="12">
        <v>319.11</v>
      </c>
      <c r="J787" s="12">
        <v>2624</v>
      </c>
      <c r="K787" s="12">
        <v>786439.04</v>
      </c>
      <c r="L787" s="12">
        <v>837344.64</v>
      </c>
      <c r="M787" s="17">
        <v>50905.599999999999</v>
      </c>
      <c r="N787" s="17">
        <v>6.47</v>
      </c>
      <c r="O787" s="17" t="s">
        <v>25</v>
      </c>
      <c r="P787" s="12">
        <v>0.3805</v>
      </c>
      <c r="Q787" s="12">
        <v>1.61</v>
      </c>
    </row>
    <row r="788" spans="1:17" x14ac:dyDescent="0.35">
      <c r="A788" s="18" t="s">
        <v>1352</v>
      </c>
      <c r="B788" s="18" t="s">
        <v>1353</v>
      </c>
      <c r="C788" s="19" t="s">
        <v>103</v>
      </c>
      <c r="D788" s="18" t="s">
        <v>104</v>
      </c>
      <c r="E788" s="20" t="s">
        <v>22</v>
      </c>
      <c r="F788" s="21" t="s">
        <v>98</v>
      </c>
      <c r="G788" s="18" t="s">
        <v>39</v>
      </c>
      <c r="H788" s="18">
        <v>308.93</v>
      </c>
      <c r="I788" s="18">
        <v>282.33999999999997</v>
      </c>
      <c r="J788" s="18">
        <v>4627</v>
      </c>
      <c r="K788" s="18">
        <v>1429419.11</v>
      </c>
      <c r="L788" s="18">
        <v>1306387.18</v>
      </c>
      <c r="M788" s="23">
        <v>-123031.93</v>
      </c>
      <c r="N788" s="23">
        <v>-8.61</v>
      </c>
      <c r="O788" s="24" t="s">
        <v>45</v>
      </c>
      <c r="P788" s="18">
        <v>0.42130000000000001</v>
      </c>
      <c r="Q788" s="18">
        <v>1.68</v>
      </c>
    </row>
    <row r="789" spans="1:17" x14ac:dyDescent="0.35">
      <c r="A789" s="12" t="s">
        <v>1354</v>
      </c>
      <c r="B789" s="12" t="s">
        <v>997</v>
      </c>
      <c r="C789" s="13" t="s">
        <v>20</v>
      </c>
      <c r="D789" s="12" t="s">
        <v>21</v>
      </c>
      <c r="E789" s="14" t="s">
        <v>22</v>
      </c>
      <c r="F789" s="15" t="s">
        <v>38</v>
      </c>
      <c r="G789" s="12" t="s">
        <v>39</v>
      </c>
      <c r="H789" s="12">
        <v>511.42</v>
      </c>
      <c r="I789" s="12">
        <v>543.1</v>
      </c>
      <c r="J789" s="12">
        <v>3282</v>
      </c>
      <c r="K789" s="12">
        <v>1678480.44</v>
      </c>
      <c r="L789" s="12">
        <v>1782454.2</v>
      </c>
      <c r="M789" s="17">
        <v>103973.75999999999</v>
      </c>
      <c r="N789" s="17">
        <v>6.19</v>
      </c>
      <c r="O789" s="17" t="s">
        <v>25</v>
      </c>
      <c r="P789" s="12">
        <v>0.51880000000000004</v>
      </c>
      <c r="Q789" s="12">
        <v>1.7</v>
      </c>
    </row>
    <row r="790" spans="1:17" x14ac:dyDescent="0.35">
      <c r="A790" s="18" t="s">
        <v>1355</v>
      </c>
      <c r="B790" s="18" t="s">
        <v>282</v>
      </c>
      <c r="C790" s="19" t="s">
        <v>137</v>
      </c>
      <c r="D790" s="18" t="s">
        <v>138</v>
      </c>
      <c r="E790" s="20" t="s">
        <v>50</v>
      </c>
      <c r="F790" s="21" t="s">
        <v>98</v>
      </c>
      <c r="G790" s="18" t="s">
        <v>39</v>
      </c>
      <c r="H790" s="18">
        <v>116.32</v>
      </c>
      <c r="I790" s="18">
        <v>80.69</v>
      </c>
      <c r="J790" s="18">
        <v>1823</v>
      </c>
      <c r="K790" s="18">
        <v>212051.36</v>
      </c>
      <c r="L790" s="18">
        <v>147097.87</v>
      </c>
      <c r="M790" s="23">
        <v>-64953.49</v>
      </c>
      <c r="N790" s="23">
        <v>-30.63</v>
      </c>
      <c r="O790" s="23" t="s">
        <v>33</v>
      </c>
      <c r="P790" s="18">
        <v>0.30869999999999997</v>
      </c>
      <c r="Q790" s="18">
        <v>0.98</v>
      </c>
    </row>
    <row r="791" spans="1:17" x14ac:dyDescent="0.35">
      <c r="A791" s="12" t="s">
        <v>1356</v>
      </c>
      <c r="B791" s="12" t="s">
        <v>557</v>
      </c>
      <c r="C791" s="13" t="s">
        <v>42</v>
      </c>
      <c r="D791" s="12" t="s">
        <v>43</v>
      </c>
      <c r="E791" s="14" t="s">
        <v>44</v>
      </c>
      <c r="F791" s="15" t="s">
        <v>31</v>
      </c>
      <c r="G791" s="12" t="s">
        <v>24</v>
      </c>
      <c r="H791" s="12">
        <v>545.23</v>
      </c>
      <c r="I791" s="12">
        <v>637.41</v>
      </c>
      <c r="J791" s="12">
        <v>4127</v>
      </c>
      <c r="K791" s="12">
        <v>2250164.21</v>
      </c>
      <c r="L791" s="12">
        <v>2630591.0699999998</v>
      </c>
      <c r="M791" s="17">
        <v>380426.86</v>
      </c>
      <c r="N791" s="17">
        <v>16.91</v>
      </c>
      <c r="O791" s="25" t="s">
        <v>45</v>
      </c>
      <c r="P791" s="12">
        <v>0.48170000000000002</v>
      </c>
      <c r="Q791" s="12">
        <v>1.46</v>
      </c>
    </row>
    <row r="792" spans="1:17" x14ac:dyDescent="0.35">
      <c r="A792" s="18" t="s">
        <v>1357</v>
      </c>
      <c r="B792" s="18" t="s">
        <v>858</v>
      </c>
      <c r="C792" s="19" t="s">
        <v>20</v>
      </c>
      <c r="D792" s="18" t="s">
        <v>21</v>
      </c>
      <c r="E792" s="20" t="s">
        <v>22</v>
      </c>
      <c r="F792" s="21" t="s">
        <v>62</v>
      </c>
      <c r="G792" s="18" t="s">
        <v>24</v>
      </c>
      <c r="H792" s="18">
        <v>573.33000000000004</v>
      </c>
      <c r="I792" s="18">
        <v>746.18</v>
      </c>
      <c r="J792" s="18">
        <v>643</v>
      </c>
      <c r="K792" s="18">
        <v>368651.19</v>
      </c>
      <c r="L792" s="18">
        <v>479793.74</v>
      </c>
      <c r="M792" s="22">
        <v>111142.55</v>
      </c>
      <c r="N792" s="22">
        <v>30.15</v>
      </c>
      <c r="O792" s="23" t="s">
        <v>33</v>
      </c>
      <c r="P792" s="18">
        <v>0.4698</v>
      </c>
      <c r="Q792" s="18">
        <v>1.49</v>
      </c>
    </row>
    <row r="793" spans="1:17" x14ac:dyDescent="0.35">
      <c r="A793" s="12" t="s">
        <v>1358</v>
      </c>
      <c r="B793" s="12" t="s">
        <v>1359</v>
      </c>
      <c r="C793" s="13" t="s">
        <v>119</v>
      </c>
      <c r="D793" s="12" t="s">
        <v>120</v>
      </c>
      <c r="E793" s="14" t="s">
        <v>44</v>
      </c>
      <c r="F793" s="15" t="s">
        <v>31</v>
      </c>
      <c r="G793" s="12" t="s">
        <v>32</v>
      </c>
      <c r="H793" s="12">
        <v>49.87</v>
      </c>
      <c r="I793" s="12">
        <v>71.5</v>
      </c>
      <c r="J793" s="12">
        <v>1605</v>
      </c>
      <c r="K793" s="12">
        <v>80041.350000000006</v>
      </c>
      <c r="L793" s="12">
        <v>114757.5</v>
      </c>
      <c r="M793" s="17">
        <v>34716.15</v>
      </c>
      <c r="N793" s="17">
        <v>43.37</v>
      </c>
      <c r="O793" s="16" t="s">
        <v>33</v>
      </c>
      <c r="P793" s="12">
        <v>0.17849999999999999</v>
      </c>
      <c r="Q793" s="12">
        <v>1.08</v>
      </c>
    </row>
    <row r="794" spans="1:17" x14ac:dyDescent="0.35">
      <c r="A794" s="18" t="s">
        <v>1360</v>
      </c>
      <c r="B794" s="18" t="s">
        <v>431</v>
      </c>
      <c r="C794" s="19" t="s">
        <v>137</v>
      </c>
      <c r="D794" s="18" t="s">
        <v>138</v>
      </c>
      <c r="E794" s="20" t="s">
        <v>50</v>
      </c>
      <c r="F794" s="21" t="s">
        <v>31</v>
      </c>
      <c r="G794" s="18" t="s">
        <v>32</v>
      </c>
      <c r="H794" s="18">
        <v>97.11</v>
      </c>
      <c r="I794" s="18">
        <v>133.96</v>
      </c>
      <c r="J794" s="18">
        <v>1392</v>
      </c>
      <c r="K794" s="18">
        <v>135177.12</v>
      </c>
      <c r="L794" s="18">
        <v>186472.32000000001</v>
      </c>
      <c r="M794" s="22">
        <v>51295.199999999997</v>
      </c>
      <c r="N794" s="22">
        <v>37.950000000000003</v>
      </c>
      <c r="O794" s="23" t="s">
        <v>33</v>
      </c>
      <c r="P794" s="18">
        <v>0.4501</v>
      </c>
      <c r="Q794" s="18">
        <v>1.38</v>
      </c>
    </row>
    <row r="795" spans="1:17" x14ac:dyDescent="0.35">
      <c r="A795" s="12" t="s">
        <v>1361</v>
      </c>
      <c r="B795" s="12" t="s">
        <v>591</v>
      </c>
      <c r="C795" s="13" t="s">
        <v>87</v>
      </c>
      <c r="D795" s="12" t="s">
        <v>88</v>
      </c>
      <c r="E795" s="14" t="s">
        <v>22</v>
      </c>
      <c r="F795" s="15" t="s">
        <v>98</v>
      </c>
      <c r="G795" s="12" t="s">
        <v>32</v>
      </c>
      <c r="H795" s="12">
        <v>347.73</v>
      </c>
      <c r="I795" s="12">
        <v>484.95</v>
      </c>
      <c r="J795" s="12">
        <v>3798</v>
      </c>
      <c r="K795" s="12">
        <v>1320678.54</v>
      </c>
      <c r="L795" s="12">
        <v>1841840.1</v>
      </c>
      <c r="M795" s="17">
        <v>521161.56</v>
      </c>
      <c r="N795" s="17">
        <v>39.46</v>
      </c>
      <c r="O795" s="16" t="s">
        <v>33</v>
      </c>
      <c r="P795" s="12">
        <v>0.2321</v>
      </c>
      <c r="Q795" s="12">
        <v>1.42</v>
      </c>
    </row>
    <row r="796" spans="1:17" x14ac:dyDescent="0.35">
      <c r="A796" s="18" t="s">
        <v>1362</v>
      </c>
      <c r="B796" s="18" t="s">
        <v>1150</v>
      </c>
      <c r="C796" s="19" t="s">
        <v>215</v>
      </c>
      <c r="D796" s="18" t="s">
        <v>216</v>
      </c>
      <c r="E796" s="20" t="s">
        <v>50</v>
      </c>
      <c r="F796" s="21" t="s">
        <v>31</v>
      </c>
      <c r="G796" s="18" t="s">
        <v>39</v>
      </c>
      <c r="H796" s="18">
        <v>153.63999999999999</v>
      </c>
      <c r="I796" s="18">
        <v>123.07</v>
      </c>
      <c r="J796" s="18">
        <v>3495</v>
      </c>
      <c r="K796" s="18">
        <v>536971.80000000005</v>
      </c>
      <c r="L796" s="18">
        <v>430129.65</v>
      </c>
      <c r="M796" s="23">
        <v>-106842.15</v>
      </c>
      <c r="N796" s="23">
        <v>-19.899999999999999</v>
      </c>
      <c r="O796" s="24" t="s">
        <v>45</v>
      </c>
      <c r="P796" s="18">
        <v>0.28220000000000001</v>
      </c>
      <c r="Q796" s="18">
        <v>1.6</v>
      </c>
    </row>
    <row r="797" spans="1:17" x14ac:dyDescent="0.35">
      <c r="A797" s="12" t="s">
        <v>1363</v>
      </c>
      <c r="B797" s="12" t="s">
        <v>401</v>
      </c>
      <c r="C797" s="13" t="s">
        <v>28</v>
      </c>
      <c r="D797" s="12" t="s">
        <v>29</v>
      </c>
      <c r="E797" s="14" t="s">
        <v>30</v>
      </c>
      <c r="F797" s="15" t="s">
        <v>31</v>
      </c>
      <c r="G797" s="12" t="s">
        <v>32</v>
      </c>
      <c r="H797" s="12">
        <v>250.59</v>
      </c>
      <c r="I797" s="12">
        <v>330.44</v>
      </c>
      <c r="J797" s="12">
        <v>4675</v>
      </c>
      <c r="K797" s="12">
        <v>1171508.25</v>
      </c>
      <c r="L797" s="12">
        <v>1544807</v>
      </c>
      <c r="M797" s="17">
        <v>373298.75</v>
      </c>
      <c r="N797" s="17">
        <v>31.86</v>
      </c>
      <c r="O797" s="16" t="s">
        <v>33</v>
      </c>
      <c r="P797" s="12">
        <v>0.50990000000000002</v>
      </c>
      <c r="Q797" s="12">
        <v>1.77</v>
      </c>
    </row>
    <row r="798" spans="1:17" x14ac:dyDescent="0.35">
      <c r="A798" s="18" t="s">
        <v>1364</v>
      </c>
      <c r="B798" s="18" t="s">
        <v>433</v>
      </c>
      <c r="C798" s="19" t="s">
        <v>95</v>
      </c>
      <c r="D798" s="18" t="s">
        <v>96</v>
      </c>
      <c r="E798" s="20" t="s">
        <v>97</v>
      </c>
      <c r="F798" s="21" t="s">
        <v>31</v>
      </c>
      <c r="G798" s="18" t="s">
        <v>32</v>
      </c>
      <c r="H798" s="18">
        <v>227.79</v>
      </c>
      <c r="I798" s="18">
        <v>296.19</v>
      </c>
      <c r="J798" s="18">
        <v>3385</v>
      </c>
      <c r="K798" s="18">
        <v>771069.15</v>
      </c>
      <c r="L798" s="18">
        <v>1002603.15</v>
      </c>
      <c r="M798" s="22">
        <v>231534</v>
      </c>
      <c r="N798" s="22">
        <v>30.03</v>
      </c>
      <c r="O798" s="23" t="s">
        <v>33</v>
      </c>
      <c r="P798" s="18">
        <v>0.1842</v>
      </c>
      <c r="Q798" s="18">
        <v>1.75</v>
      </c>
    </row>
    <row r="799" spans="1:17" x14ac:dyDescent="0.35">
      <c r="A799" s="12" t="s">
        <v>1365</v>
      </c>
      <c r="B799" s="12" t="s">
        <v>1366</v>
      </c>
      <c r="C799" s="13" t="s">
        <v>170</v>
      </c>
      <c r="D799" s="12" t="s">
        <v>171</v>
      </c>
      <c r="E799" s="14" t="s">
        <v>97</v>
      </c>
      <c r="F799" s="15" t="s">
        <v>31</v>
      </c>
      <c r="G799" s="12" t="s">
        <v>32</v>
      </c>
      <c r="H799" s="12">
        <v>142.18</v>
      </c>
      <c r="I799" s="12">
        <v>216.68</v>
      </c>
      <c r="J799" s="12">
        <v>4407</v>
      </c>
      <c r="K799" s="12">
        <v>626587.26</v>
      </c>
      <c r="L799" s="12">
        <v>954908.76</v>
      </c>
      <c r="M799" s="17">
        <v>328321.5</v>
      </c>
      <c r="N799" s="17">
        <v>52.4</v>
      </c>
      <c r="O799" s="16" t="s">
        <v>33</v>
      </c>
      <c r="P799" s="12">
        <v>0.31509999999999999</v>
      </c>
      <c r="Q799" s="12">
        <v>1.41</v>
      </c>
    </row>
    <row r="800" spans="1:17" x14ac:dyDescent="0.35">
      <c r="A800" s="18" t="s">
        <v>1367</v>
      </c>
      <c r="B800" s="18" t="s">
        <v>401</v>
      </c>
      <c r="C800" s="19" t="s">
        <v>20</v>
      </c>
      <c r="D800" s="18" t="s">
        <v>21</v>
      </c>
      <c r="E800" s="20" t="s">
        <v>22</v>
      </c>
      <c r="F800" s="21" t="s">
        <v>23</v>
      </c>
      <c r="G800" s="18" t="s">
        <v>39</v>
      </c>
      <c r="H800" s="18">
        <v>561.83000000000004</v>
      </c>
      <c r="I800" s="18">
        <v>476.05</v>
      </c>
      <c r="J800" s="18">
        <v>2280</v>
      </c>
      <c r="K800" s="18">
        <v>1280972.3999999999</v>
      </c>
      <c r="L800" s="18">
        <v>1085394</v>
      </c>
      <c r="M800" s="23">
        <v>-195578.4</v>
      </c>
      <c r="N800" s="23">
        <v>-15.27</v>
      </c>
      <c r="O800" s="24" t="s">
        <v>45</v>
      </c>
      <c r="P800" s="18">
        <v>0.17599999999999999</v>
      </c>
      <c r="Q800" s="18">
        <v>1.63</v>
      </c>
    </row>
    <row r="801" spans="1:17" x14ac:dyDescent="0.35">
      <c r="A801" s="12" t="s">
        <v>1368</v>
      </c>
      <c r="B801" s="12" t="s">
        <v>1369</v>
      </c>
      <c r="C801" s="13" t="s">
        <v>53</v>
      </c>
      <c r="D801" s="12" t="s">
        <v>54</v>
      </c>
      <c r="E801" s="14" t="s">
        <v>55</v>
      </c>
      <c r="F801" s="15" t="s">
        <v>23</v>
      </c>
      <c r="G801" s="12" t="s">
        <v>24</v>
      </c>
      <c r="H801" s="12">
        <v>81.37</v>
      </c>
      <c r="I801" s="12">
        <v>116.74</v>
      </c>
      <c r="J801" s="12">
        <v>3526</v>
      </c>
      <c r="K801" s="12">
        <v>286910.62</v>
      </c>
      <c r="L801" s="12">
        <v>411625.24</v>
      </c>
      <c r="M801" s="17">
        <v>124714.62</v>
      </c>
      <c r="N801" s="17">
        <v>43.47</v>
      </c>
      <c r="O801" s="16" t="s">
        <v>33</v>
      </c>
      <c r="P801" s="12">
        <v>0.13239999999999999</v>
      </c>
      <c r="Q801" s="12">
        <v>1.77</v>
      </c>
    </row>
    <row r="802" spans="1:17" x14ac:dyDescent="0.35">
      <c r="A802" s="18" t="s">
        <v>1370</v>
      </c>
      <c r="B802" s="18" t="s">
        <v>1260</v>
      </c>
      <c r="C802" s="19" t="s">
        <v>150</v>
      </c>
      <c r="D802" s="18" t="s">
        <v>151</v>
      </c>
      <c r="E802" s="20" t="s">
        <v>55</v>
      </c>
      <c r="F802" s="21" t="s">
        <v>23</v>
      </c>
      <c r="G802" s="18" t="s">
        <v>39</v>
      </c>
      <c r="H802" s="18">
        <v>158.85</v>
      </c>
      <c r="I802" s="18">
        <v>145.78</v>
      </c>
      <c r="J802" s="18">
        <v>3128</v>
      </c>
      <c r="K802" s="18">
        <v>496882.8</v>
      </c>
      <c r="L802" s="18">
        <v>455999.84</v>
      </c>
      <c r="M802" s="23">
        <v>-40882.959999999999</v>
      </c>
      <c r="N802" s="23">
        <v>-8.23</v>
      </c>
      <c r="O802" s="24" t="s">
        <v>45</v>
      </c>
      <c r="P802" s="18">
        <v>0.15690000000000001</v>
      </c>
      <c r="Q802" s="18">
        <v>1.1599999999999999</v>
      </c>
    </row>
    <row r="803" spans="1:17" x14ac:dyDescent="0.35">
      <c r="A803" s="26"/>
      <c r="B803" s="26"/>
      <c r="C803" s="26"/>
      <c r="D803" s="26"/>
      <c r="E803" s="26"/>
      <c r="F803" s="26"/>
      <c r="G803" s="26"/>
      <c r="H803" s="26"/>
      <c r="I803" s="26"/>
      <c r="J803" s="26"/>
      <c r="K803" s="26"/>
      <c r="L803" s="26"/>
      <c r="M803" s="26"/>
      <c r="N803" s="26"/>
      <c r="O803" s="26"/>
      <c r="P803" s="26"/>
      <c r="Q803" s="26"/>
    </row>
    <row r="804" spans="1:17" x14ac:dyDescent="0.35">
      <c r="A804" s="26"/>
      <c r="B804" s="26"/>
      <c r="C804" s="26"/>
      <c r="D804" s="26"/>
      <c r="E804" s="26"/>
      <c r="F804" s="26"/>
      <c r="G804" s="26"/>
      <c r="H804" s="26"/>
      <c r="I804" s="26"/>
      <c r="J804" s="26"/>
      <c r="K804" s="26"/>
      <c r="L804" s="26"/>
      <c r="M804" s="26"/>
      <c r="N804" s="26"/>
      <c r="O804" s="26"/>
      <c r="P804" s="26"/>
      <c r="Q804" s="26"/>
    </row>
  </sheetData>
  <mergeCells count="1">
    <mergeCell ref="A1:Q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6600"/>
  </sheetPr>
  <dimension ref="A1:AE79"/>
  <sheetViews>
    <sheetView showGridLines="0" workbookViewId="0"/>
  </sheetViews>
  <sheetFormatPr defaultRowHeight="14.5" x14ac:dyDescent="0.35"/>
  <cols>
    <col min="1" max="31" width="7" customWidth="1"/>
  </cols>
  <sheetData>
    <row r="1" spans="1:31" ht="26" customHeight="1" x14ac:dyDescent="0.35">
      <c r="A1" s="64" t="s">
        <v>1371</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row>
    <row r="2" spans="1:31" ht="22" customHeight="1" x14ac:dyDescent="0.35">
      <c r="A2" s="55" t="s">
        <v>1372</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row>
    <row r="3" spans="1:31" ht="18" customHeight="1" x14ac:dyDescent="0.35">
      <c r="A3" s="26"/>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row>
    <row r="4" spans="1:31" ht="16" customHeight="1" x14ac:dyDescent="0.35">
      <c r="A4" s="58" t="s">
        <v>1373</v>
      </c>
      <c r="B4" s="51"/>
      <c r="C4" s="51"/>
      <c r="D4" s="51"/>
      <c r="E4" s="51"/>
      <c r="F4" s="51"/>
      <c r="G4" s="26"/>
      <c r="H4" s="58" t="s">
        <v>1374</v>
      </c>
      <c r="I4" s="51"/>
      <c r="J4" s="51"/>
      <c r="K4" s="51"/>
      <c r="L4" s="51"/>
      <c r="M4" s="51"/>
      <c r="N4" s="26"/>
      <c r="O4" s="58" t="s">
        <v>1375</v>
      </c>
      <c r="P4" s="51"/>
      <c r="Q4" s="51"/>
      <c r="R4" s="51"/>
      <c r="S4" s="51"/>
      <c r="T4" s="51"/>
      <c r="U4" s="26"/>
      <c r="V4" s="58" t="s">
        <v>1376</v>
      </c>
      <c r="W4" s="51"/>
      <c r="X4" s="51"/>
      <c r="Y4" s="51"/>
      <c r="Z4" s="51"/>
      <c r="AA4" s="51"/>
      <c r="AB4" s="26"/>
      <c r="AC4" s="26"/>
      <c r="AD4" s="26"/>
      <c r="AE4" s="26"/>
    </row>
    <row r="5" spans="1:31" ht="20" customHeight="1" x14ac:dyDescent="0.35">
      <c r="A5" s="52" t="s">
        <v>1377</v>
      </c>
      <c r="B5" s="53"/>
      <c r="C5" s="53"/>
      <c r="D5" s="54"/>
      <c r="E5" s="59" t="s">
        <v>1378</v>
      </c>
      <c r="F5" s="54"/>
      <c r="G5" s="26"/>
      <c r="H5" s="52" t="s">
        <v>1379</v>
      </c>
      <c r="I5" s="53"/>
      <c r="J5" s="53"/>
      <c r="K5" s="54"/>
      <c r="L5" s="61" t="s">
        <v>1380</v>
      </c>
      <c r="M5" s="54"/>
      <c r="N5" s="26"/>
      <c r="O5" s="52" t="s">
        <v>1381</v>
      </c>
      <c r="P5" s="53"/>
      <c r="Q5" s="53"/>
      <c r="R5" s="54"/>
      <c r="S5" s="57" t="s">
        <v>1382</v>
      </c>
      <c r="T5" s="54"/>
      <c r="U5" s="26"/>
      <c r="V5" s="52" t="s">
        <v>1383</v>
      </c>
      <c r="W5" s="53"/>
      <c r="X5" s="53"/>
      <c r="Y5" s="54"/>
      <c r="Z5" s="66" t="s">
        <v>1384</v>
      </c>
      <c r="AA5" s="54"/>
      <c r="AB5" s="26"/>
      <c r="AC5" s="26"/>
      <c r="AD5" s="26"/>
      <c r="AE5" s="26"/>
    </row>
    <row r="6" spans="1:31" ht="20" customHeight="1" x14ac:dyDescent="0.35">
      <c r="A6" s="52" t="s">
        <v>1385</v>
      </c>
      <c r="B6" s="53"/>
      <c r="C6" s="53"/>
      <c r="D6" s="54"/>
      <c r="E6" s="57" t="s">
        <v>1386</v>
      </c>
      <c r="F6" s="54"/>
      <c r="G6" s="26"/>
      <c r="H6" s="52" t="s">
        <v>1387</v>
      </c>
      <c r="I6" s="53"/>
      <c r="J6" s="53"/>
      <c r="K6" s="54"/>
      <c r="L6" s="61" t="s">
        <v>1388</v>
      </c>
      <c r="M6" s="54"/>
      <c r="N6" s="26"/>
      <c r="O6" s="52" t="s">
        <v>1389</v>
      </c>
      <c r="P6" s="53"/>
      <c r="Q6" s="53"/>
      <c r="R6" s="54"/>
      <c r="S6" s="65" t="s">
        <v>1390</v>
      </c>
      <c r="T6" s="54"/>
      <c r="U6" s="26"/>
      <c r="V6" s="52" t="s">
        <v>1391</v>
      </c>
      <c r="W6" s="53"/>
      <c r="X6" s="53"/>
      <c r="Y6" s="54"/>
      <c r="Z6" s="57" t="s">
        <v>1392</v>
      </c>
      <c r="AA6" s="54"/>
      <c r="AB6" s="26"/>
      <c r="AC6" s="26"/>
      <c r="AD6" s="26"/>
      <c r="AE6" s="26"/>
    </row>
    <row r="7" spans="1:31" ht="20" customHeight="1" x14ac:dyDescent="0.35">
      <c r="A7" s="52" t="s">
        <v>1393</v>
      </c>
      <c r="B7" s="53"/>
      <c r="C7" s="53"/>
      <c r="D7" s="54"/>
      <c r="E7" s="57" t="s">
        <v>1394</v>
      </c>
      <c r="F7" s="54"/>
      <c r="G7" s="26"/>
      <c r="H7" s="52" t="s">
        <v>1395</v>
      </c>
      <c r="I7" s="53"/>
      <c r="J7" s="53"/>
      <c r="K7" s="54"/>
      <c r="L7" s="56" t="s">
        <v>1396</v>
      </c>
      <c r="M7" s="54"/>
      <c r="N7" s="26"/>
      <c r="O7" s="52" t="s">
        <v>1397</v>
      </c>
      <c r="P7" s="53"/>
      <c r="Q7" s="53"/>
      <c r="R7" s="54"/>
      <c r="S7" s="60" t="s">
        <v>1398</v>
      </c>
      <c r="T7" s="54"/>
      <c r="U7" s="26"/>
      <c r="V7" s="52" t="s">
        <v>1399</v>
      </c>
      <c r="W7" s="53"/>
      <c r="X7" s="53"/>
      <c r="Y7" s="54"/>
      <c r="Z7" s="56" t="s">
        <v>1400</v>
      </c>
      <c r="AA7" s="54"/>
      <c r="AB7" s="26"/>
      <c r="AC7" s="26"/>
      <c r="AD7" s="26"/>
      <c r="AE7" s="26"/>
    </row>
    <row r="8" spans="1:31" ht="20" customHeight="1" x14ac:dyDescent="0.35">
      <c r="A8" s="52" t="s">
        <v>1401</v>
      </c>
      <c r="B8" s="53"/>
      <c r="C8" s="53"/>
      <c r="D8" s="54"/>
      <c r="E8" s="57" t="s">
        <v>1402</v>
      </c>
      <c r="F8" s="54"/>
      <c r="G8" s="26"/>
      <c r="H8" s="52" t="s">
        <v>1403</v>
      </c>
      <c r="I8" s="53"/>
      <c r="J8" s="53"/>
      <c r="K8" s="54"/>
      <c r="L8" s="62" t="s">
        <v>1404</v>
      </c>
      <c r="M8" s="54"/>
      <c r="N8" s="26"/>
      <c r="O8" s="52" t="s">
        <v>1405</v>
      </c>
      <c r="P8" s="53"/>
      <c r="Q8" s="53"/>
      <c r="R8" s="54"/>
      <c r="S8" s="57" t="s">
        <v>1406</v>
      </c>
      <c r="T8" s="54"/>
      <c r="U8" s="26"/>
      <c r="V8" s="52" t="s">
        <v>1407</v>
      </c>
      <c r="W8" s="53"/>
      <c r="X8" s="53"/>
      <c r="Y8" s="54"/>
      <c r="Z8" s="57" t="s">
        <v>1408</v>
      </c>
      <c r="AA8" s="54"/>
      <c r="AB8" s="26"/>
      <c r="AC8" s="26"/>
      <c r="AD8" s="26"/>
      <c r="AE8" s="26"/>
    </row>
    <row r="9" spans="1:31" ht="18" customHeight="1" x14ac:dyDescent="0.35">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row>
    <row r="10" spans="1:31" ht="20" customHeight="1" x14ac:dyDescent="0.35">
      <c r="A10" s="3" t="s">
        <v>178</v>
      </c>
      <c r="B10" s="22" t="s">
        <v>1409</v>
      </c>
      <c r="C10" s="3" t="s">
        <v>103</v>
      </c>
      <c r="D10" s="22" t="s">
        <v>1410</v>
      </c>
      <c r="E10" s="3" t="s">
        <v>60</v>
      </c>
      <c r="F10" s="22" t="s">
        <v>1411</v>
      </c>
      <c r="G10" s="3" t="s">
        <v>20</v>
      </c>
      <c r="H10" s="22" t="s">
        <v>1412</v>
      </c>
      <c r="I10" s="3" t="s">
        <v>87</v>
      </c>
      <c r="J10" s="22" t="s">
        <v>1413</v>
      </c>
      <c r="K10" s="3" t="s">
        <v>170</v>
      </c>
      <c r="L10" s="22" t="s">
        <v>1414</v>
      </c>
      <c r="M10" s="3" t="s">
        <v>95</v>
      </c>
      <c r="N10" s="22" t="s">
        <v>1415</v>
      </c>
      <c r="O10" s="3" t="s">
        <v>150</v>
      </c>
      <c r="P10" s="22" t="s">
        <v>1416</v>
      </c>
      <c r="Q10" s="3" t="s">
        <v>83</v>
      </c>
      <c r="R10" s="22" t="s">
        <v>1417</v>
      </c>
      <c r="S10" s="3" t="s">
        <v>137</v>
      </c>
      <c r="T10" s="22" t="s">
        <v>1418</v>
      </c>
      <c r="U10" s="3" t="s">
        <v>215</v>
      </c>
      <c r="V10" s="22" t="s">
        <v>1419</v>
      </c>
      <c r="W10" s="3" t="s">
        <v>48</v>
      </c>
      <c r="X10" s="22" t="s">
        <v>1420</v>
      </c>
      <c r="Y10" s="3" t="s">
        <v>77</v>
      </c>
      <c r="Z10" s="22" t="s">
        <v>1421</v>
      </c>
      <c r="AA10" s="3" t="s">
        <v>42</v>
      </c>
      <c r="AB10" s="22" t="s">
        <v>1422</v>
      </c>
      <c r="AC10" s="26"/>
      <c r="AD10" s="26"/>
      <c r="AE10" s="26"/>
    </row>
    <row r="11" spans="1:31" ht="18" customHeight="1" x14ac:dyDescent="0.35">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row>
    <row r="12" spans="1:31" ht="16" customHeight="1" x14ac:dyDescent="0.35">
      <c r="A12" s="63" t="s">
        <v>1423</v>
      </c>
      <c r="B12" s="51"/>
      <c r="C12" s="51"/>
      <c r="D12" s="51"/>
      <c r="E12" s="51"/>
      <c r="F12" s="51"/>
      <c r="G12" s="51"/>
      <c r="H12" s="51"/>
      <c r="I12" s="26"/>
      <c r="J12" s="26"/>
      <c r="K12" s="26"/>
      <c r="L12" s="26"/>
      <c r="M12" s="26"/>
      <c r="N12" s="26"/>
      <c r="O12" s="26"/>
      <c r="P12" s="26"/>
      <c r="Q12" s="26"/>
      <c r="R12" s="26"/>
      <c r="S12" s="26"/>
      <c r="T12" s="26"/>
      <c r="U12" s="26"/>
      <c r="V12" s="26"/>
      <c r="W12" s="67" t="s">
        <v>1424</v>
      </c>
      <c r="X12" s="51"/>
      <c r="Y12" s="51"/>
      <c r="Z12" s="51"/>
      <c r="AA12" s="51"/>
      <c r="AB12" s="51"/>
      <c r="AC12" s="51"/>
      <c r="AD12" s="51"/>
      <c r="AE12" s="26"/>
    </row>
    <row r="13" spans="1:31" ht="18" customHeight="1" x14ac:dyDescent="0.35">
      <c r="A13" s="68" t="s">
        <v>1425</v>
      </c>
      <c r="B13" s="54"/>
      <c r="C13" s="28" t="s">
        <v>1426</v>
      </c>
      <c r="D13" s="29" t="s">
        <v>13</v>
      </c>
      <c r="E13" s="26"/>
      <c r="F13" s="26"/>
      <c r="G13" s="26"/>
      <c r="H13" s="26"/>
      <c r="I13" s="26"/>
      <c r="J13" s="26"/>
      <c r="K13" s="26"/>
      <c r="L13" s="26"/>
      <c r="M13" s="26"/>
      <c r="N13" s="26"/>
      <c r="O13" s="26"/>
      <c r="P13" s="26"/>
      <c r="Q13" s="26"/>
      <c r="R13" s="26"/>
      <c r="S13" s="26"/>
      <c r="T13" s="26"/>
      <c r="U13" s="26"/>
      <c r="V13" s="26"/>
      <c r="W13" s="27" t="s">
        <v>5</v>
      </c>
      <c r="X13" s="30" t="s">
        <v>1427</v>
      </c>
      <c r="Y13" s="28" t="s">
        <v>1428</v>
      </c>
      <c r="Z13" s="31" t="s">
        <v>1429</v>
      </c>
      <c r="AA13" s="26"/>
      <c r="AB13" s="26"/>
      <c r="AC13" s="26"/>
      <c r="AD13" s="26"/>
      <c r="AE13" s="26"/>
    </row>
    <row r="14" spans="1:31" ht="18" customHeight="1" x14ac:dyDescent="0.35">
      <c r="A14" s="32" t="s">
        <v>1430</v>
      </c>
      <c r="B14" s="33">
        <v>24387212</v>
      </c>
      <c r="C14" s="34">
        <v>27433280</v>
      </c>
      <c r="D14" s="22">
        <v>3046069</v>
      </c>
      <c r="E14" s="26"/>
      <c r="F14" s="26"/>
      <c r="G14" s="26"/>
      <c r="H14" s="26"/>
      <c r="I14" s="26"/>
      <c r="J14" s="26"/>
      <c r="K14" s="26"/>
      <c r="L14" s="26"/>
      <c r="M14" s="26"/>
      <c r="N14" s="26"/>
      <c r="O14" s="26"/>
      <c r="P14" s="26"/>
      <c r="Q14" s="26"/>
      <c r="R14" s="26"/>
      <c r="S14" s="26"/>
      <c r="T14" s="26"/>
      <c r="U14" s="26"/>
      <c r="V14" s="26"/>
      <c r="W14" s="20" t="s">
        <v>74</v>
      </c>
      <c r="X14" s="33">
        <v>42329037</v>
      </c>
      <c r="Y14" s="22">
        <v>7109220</v>
      </c>
      <c r="Z14" s="34">
        <v>16.8</v>
      </c>
      <c r="AA14" s="26"/>
      <c r="AB14" s="26"/>
      <c r="AC14" s="26"/>
      <c r="AD14" s="26"/>
      <c r="AE14" s="26"/>
    </row>
    <row r="15" spans="1:31" ht="18" customHeight="1" x14ac:dyDescent="0.35">
      <c r="A15" s="35" t="s">
        <v>1431</v>
      </c>
      <c r="B15" s="36">
        <v>19948984</v>
      </c>
      <c r="C15" s="37">
        <v>23492452</v>
      </c>
      <c r="D15" s="17">
        <v>3543467</v>
      </c>
      <c r="E15" s="26"/>
      <c r="F15" s="26"/>
      <c r="G15" s="26"/>
      <c r="H15" s="26"/>
      <c r="I15" s="26"/>
      <c r="J15" s="26"/>
      <c r="K15" s="26"/>
      <c r="L15" s="26"/>
      <c r="M15" s="26"/>
      <c r="N15" s="26"/>
      <c r="O15" s="26"/>
      <c r="P15" s="26"/>
      <c r="Q15" s="26"/>
      <c r="R15" s="26"/>
      <c r="S15" s="26"/>
      <c r="T15" s="26"/>
      <c r="U15" s="26"/>
      <c r="V15" s="26"/>
      <c r="W15" s="14" t="s">
        <v>97</v>
      </c>
      <c r="X15" s="36">
        <v>28903710</v>
      </c>
      <c r="Y15" s="17">
        <v>2957826</v>
      </c>
      <c r="Z15" s="37">
        <v>10.199999999999999</v>
      </c>
      <c r="AA15" s="26"/>
      <c r="AB15" s="26"/>
      <c r="AC15" s="26"/>
      <c r="AD15" s="26"/>
      <c r="AE15" s="26"/>
    </row>
    <row r="16" spans="1:31" ht="18" customHeight="1" x14ac:dyDescent="0.35">
      <c r="A16" s="32" t="s">
        <v>1432</v>
      </c>
      <c r="B16" s="33">
        <v>22004735</v>
      </c>
      <c r="C16" s="34">
        <v>26043098</v>
      </c>
      <c r="D16" s="22">
        <v>4038363</v>
      </c>
      <c r="E16" s="26"/>
      <c r="F16" s="26"/>
      <c r="G16" s="26"/>
      <c r="H16" s="26"/>
      <c r="I16" s="26"/>
      <c r="J16" s="26"/>
      <c r="K16" s="26"/>
      <c r="L16" s="26"/>
      <c r="M16" s="26"/>
      <c r="N16" s="26"/>
      <c r="O16" s="26"/>
      <c r="P16" s="26"/>
      <c r="Q16" s="26"/>
      <c r="R16" s="26"/>
      <c r="S16" s="26"/>
      <c r="T16" s="26"/>
      <c r="U16" s="26"/>
      <c r="V16" s="26"/>
      <c r="W16" s="20" t="s">
        <v>50</v>
      </c>
      <c r="X16" s="33">
        <v>34547615</v>
      </c>
      <c r="Y16" s="22">
        <v>4544736</v>
      </c>
      <c r="Z16" s="34">
        <v>13.2</v>
      </c>
      <c r="AA16" s="26"/>
      <c r="AB16" s="26"/>
      <c r="AC16" s="26"/>
      <c r="AD16" s="26"/>
      <c r="AE16" s="26"/>
    </row>
    <row r="17" spans="1:31" ht="18" customHeight="1" x14ac:dyDescent="0.35">
      <c r="A17" s="35" t="s">
        <v>1433</v>
      </c>
      <c r="B17" s="36">
        <v>36260053</v>
      </c>
      <c r="C17" s="37">
        <v>42838051</v>
      </c>
      <c r="D17" s="17">
        <v>6577998</v>
      </c>
      <c r="E17" s="26"/>
      <c r="F17" s="26"/>
      <c r="G17" s="26"/>
      <c r="H17" s="26"/>
      <c r="I17" s="26"/>
      <c r="J17" s="26"/>
      <c r="K17" s="26"/>
      <c r="L17" s="26"/>
      <c r="M17" s="26"/>
      <c r="N17" s="26"/>
      <c r="O17" s="26"/>
      <c r="P17" s="26"/>
      <c r="Q17" s="26"/>
      <c r="R17" s="26"/>
      <c r="S17" s="26"/>
      <c r="T17" s="26"/>
      <c r="U17" s="26"/>
      <c r="V17" s="26"/>
      <c r="W17" s="14" t="s">
        <v>55</v>
      </c>
      <c r="X17" s="36">
        <v>117760007</v>
      </c>
      <c r="Y17" s="17">
        <v>12736783</v>
      </c>
      <c r="Z17" s="37">
        <v>10.8</v>
      </c>
      <c r="AA17" s="26"/>
      <c r="AB17" s="26"/>
      <c r="AC17" s="26"/>
      <c r="AD17" s="26"/>
      <c r="AE17" s="26"/>
    </row>
    <row r="18" spans="1:31" ht="18" customHeight="1" x14ac:dyDescent="0.35">
      <c r="A18" s="32" t="s">
        <v>1434</v>
      </c>
      <c r="B18" s="33">
        <v>23587309</v>
      </c>
      <c r="C18" s="34">
        <v>28172840</v>
      </c>
      <c r="D18" s="22">
        <v>4585531</v>
      </c>
      <c r="E18" s="26"/>
      <c r="F18" s="26"/>
      <c r="G18" s="26"/>
      <c r="H18" s="26"/>
      <c r="I18" s="26"/>
      <c r="J18" s="26"/>
      <c r="K18" s="26"/>
      <c r="L18" s="26"/>
      <c r="M18" s="26"/>
      <c r="N18" s="26"/>
      <c r="O18" s="26"/>
      <c r="P18" s="26"/>
      <c r="Q18" s="26"/>
      <c r="R18" s="26"/>
      <c r="S18" s="26"/>
      <c r="T18" s="26"/>
      <c r="U18" s="26"/>
      <c r="V18" s="26"/>
      <c r="W18" s="20" t="s">
        <v>44</v>
      </c>
      <c r="X18" s="33">
        <v>80290834</v>
      </c>
      <c r="Y18" s="22">
        <v>15991754</v>
      </c>
      <c r="Z18" s="34">
        <v>19.899999999999999</v>
      </c>
      <c r="AA18" s="26"/>
      <c r="AB18" s="26"/>
      <c r="AC18" s="26"/>
      <c r="AD18" s="26"/>
      <c r="AE18" s="26"/>
    </row>
    <row r="19" spans="1:31" ht="18" customHeight="1" x14ac:dyDescent="0.35">
      <c r="A19" s="35" t="s">
        <v>1435</v>
      </c>
      <c r="B19" s="36">
        <v>17454874</v>
      </c>
      <c r="C19" s="37">
        <v>20522007</v>
      </c>
      <c r="D19" s="17">
        <v>3067132</v>
      </c>
      <c r="E19" s="26"/>
      <c r="F19" s="26"/>
      <c r="G19" s="26"/>
      <c r="H19" s="26"/>
      <c r="I19" s="26"/>
      <c r="J19" s="26"/>
      <c r="K19" s="26"/>
      <c r="L19" s="26"/>
      <c r="M19" s="26"/>
      <c r="N19" s="26"/>
      <c r="O19" s="26"/>
      <c r="P19" s="26"/>
      <c r="Q19" s="26"/>
      <c r="R19" s="26"/>
      <c r="S19" s="26"/>
      <c r="T19" s="26"/>
      <c r="U19" s="26"/>
      <c r="V19" s="26"/>
      <c r="W19" s="14" t="s">
        <v>30</v>
      </c>
      <c r="X19" s="36">
        <v>57215035</v>
      </c>
      <c r="Y19" s="17">
        <v>8450710</v>
      </c>
      <c r="Z19" s="37">
        <v>14.8</v>
      </c>
      <c r="AA19" s="26"/>
      <c r="AB19" s="26"/>
      <c r="AC19" s="26"/>
      <c r="AD19" s="26"/>
      <c r="AE19" s="26"/>
    </row>
    <row r="20" spans="1:31" ht="18" customHeight="1" x14ac:dyDescent="0.35">
      <c r="A20" s="32" t="s">
        <v>1436</v>
      </c>
      <c r="B20" s="33">
        <v>18870162</v>
      </c>
      <c r="C20" s="34">
        <v>22130646</v>
      </c>
      <c r="D20" s="22">
        <v>3260485</v>
      </c>
      <c r="E20" s="26"/>
      <c r="F20" s="26"/>
      <c r="G20" s="26"/>
      <c r="H20" s="26"/>
      <c r="I20" s="26"/>
      <c r="J20" s="26"/>
      <c r="K20" s="26"/>
      <c r="L20" s="26"/>
      <c r="M20" s="26"/>
      <c r="N20" s="26"/>
      <c r="O20" s="26"/>
      <c r="P20" s="26"/>
      <c r="Q20" s="26"/>
      <c r="R20" s="26"/>
      <c r="S20" s="26"/>
      <c r="T20" s="26"/>
      <c r="U20" s="26"/>
      <c r="V20" s="26"/>
      <c r="W20" s="20" t="s">
        <v>22</v>
      </c>
      <c r="X20" s="33">
        <v>192620633</v>
      </c>
      <c r="Y20" s="22">
        <v>23863789</v>
      </c>
      <c r="Z20" s="34">
        <v>12.4</v>
      </c>
      <c r="AA20" s="26"/>
      <c r="AB20" s="26"/>
      <c r="AC20" s="26"/>
      <c r="AD20" s="26"/>
      <c r="AE20" s="26"/>
    </row>
    <row r="21" spans="1:31" ht="18" customHeight="1" x14ac:dyDescent="0.35">
      <c r="A21" s="35" t="s">
        <v>1437</v>
      </c>
      <c r="B21" s="36">
        <v>22071286</v>
      </c>
      <c r="C21" s="37">
        <v>25873829</v>
      </c>
      <c r="D21" s="17">
        <v>3802543</v>
      </c>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row>
    <row r="22" spans="1:31" ht="18" customHeight="1" x14ac:dyDescent="0.35">
      <c r="A22" s="32" t="s">
        <v>1438</v>
      </c>
      <c r="B22" s="33">
        <v>26291123</v>
      </c>
      <c r="C22" s="34">
        <v>28258604</v>
      </c>
      <c r="D22" s="22">
        <v>1967481</v>
      </c>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row>
    <row r="23" spans="1:31" ht="18" customHeight="1" x14ac:dyDescent="0.35">
      <c r="A23" s="35" t="s">
        <v>1439</v>
      </c>
      <c r="B23" s="36">
        <v>26681081</v>
      </c>
      <c r="C23" s="37">
        <v>29977233</v>
      </c>
      <c r="D23" s="17">
        <v>3296152</v>
      </c>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row>
    <row r="24" spans="1:31" ht="18" customHeight="1" x14ac:dyDescent="0.35">
      <c r="A24" s="32" t="s">
        <v>1440</v>
      </c>
      <c r="B24" s="33">
        <v>19573299</v>
      </c>
      <c r="C24" s="34">
        <v>21467427</v>
      </c>
      <c r="D24" s="22">
        <v>1894128</v>
      </c>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row>
    <row r="25" spans="1:31" ht="18" customHeight="1" x14ac:dyDescent="0.35">
      <c r="A25" s="35" t="s">
        <v>1441</v>
      </c>
      <c r="B25" s="36">
        <v>18838620</v>
      </c>
      <c r="C25" s="37">
        <v>23745393</v>
      </c>
      <c r="D25" s="17">
        <v>4906773</v>
      </c>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row>
    <row r="26" spans="1:31" ht="18" customHeight="1" x14ac:dyDescent="0.35">
      <c r="A26" s="32" t="s">
        <v>1442</v>
      </c>
      <c r="B26" s="33">
        <v>27770293</v>
      </c>
      <c r="C26" s="34">
        <v>31690673</v>
      </c>
      <c r="D26" s="22">
        <v>3920380</v>
      </c>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row>
    <row r="27" spans="1:31" ht="18" customHeight="1" x14ac:dyDescent="0.35">
      <c r="A27" s="35" t="s">
        <v>1443</v>
      </c>
      <c r="B27" s="36">
        <v>17879007</v>
      </c>
      <c r="C27" s="37">
        <v>18148576</v>
      </c>
      <c r="D27" s="17">
        <v>269569</v>
      </c>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row>
    <row r="28" spans="1:31" ht="18" customHeight="1" x14ac:dyDescent="0.35">
      <c r="A28" s="32" t="s">
        <v>1444</v>
      </c>
      <c r="B28" s="33">
        <v>21189375</v>
      </c>
      <c r="C28" s="34">
        <v>22844530</v>
      </c>
      <c r="D28" s="22">
        <v>1655155</v>
      </c>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row>
    <row r="29" spans="1:31" ht="18" customHeight="1" x14ac:dyDescent="0.35">
      <c r="A29" s="35" t="s">
        <v>1445</v>
      </c>
      <c r="B29" s="36">
        <v>24410502</v>
      </c>
      <c r="C29" s="37">
        <v>26537709</v>
      </c>
      <c r="D29" s="17">
        <v>2127208</v>
      </c>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row>
    <row r="30" spans="1:31" ht="18" customHeight="1" x14ac:dyDescent="0.35">
      <c r="A30" s="32" t="s">
        <v>1446</v>
      </c>
      <c r="B30" s="33">
        <v>26424492</v>
      </c>
      <c r="C30" s="34">
        <v>30343139</v>
      </c>
      <c r="D30" s="22">
        <v>3918647</v>
      </c>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row>
    <row r="31" spans="1:31" ht="18" customHeight="1" x14ac:dyDescent="0.35">
      <c r="A31" s="35" t="s">
        <v>1447</v>
      </c>
      <c r="B31" s="36">
        <v>19498035</v>
      </c>
      <c r="C31" s="37">
        <v>23154333</v>
      </c>
      <c r="D31" s="17">
        <v>3656298</v>
      </c>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row>
    <row r="32" spans="1:31" ht="18" customHeight="1" x14ac:dyDescent="0.35">
      <c r="A32" s="32" t="s">
        <v>1448</v>
      </c>
      <c r="B32" s="33">
        <v>29913673</v>
      </c>
      <c r="C32" s="34">
        <v>31699547</v>
      </c>
      <c r="D32" s="22">
        <v>1785874</v>
      </c>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row>
    <row r="33" spans="1:31" ht="18" customHeight="1" x14ac:dyDescent="0.35">
      <c r="A33" s="35" t="s">
        <v>1449</v>
      </c>
      <c r="B33" s="36">
        <v>29469357</v>
      </c>
      <c r="C33" s="37">
        <v>34217163</v>
      </c>
      <c r="D33" s="17">
        <v>4747806</v>
      </c>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row>
    <row r="34" spans="1:31" ht="18" customHeight="1" x14ac:dyDescent="0.35">
      <c r="A34" s="32" t="s">
        <v>1450</v>
      </c>
      <c r="B34" s="33">
        <v>23976935</v>
      </c>
      <c r="C34" s="34">
        <v>27371642</v>
      </c>
      <c r="D34" s="22">
        <v>3394707</v>
      </c>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row>
    <row r="35" spans="1:31" ht="18" customHeight="1" x14ac:dyDescent="0.35">
      <c r="A35" s="35" t="s">
        <v>1451</v>
      </c>
      <c r="B35" s="36">
        <v>9651542</v>
      </c>
      <c r="C35" s="37">
        <v>10957336</v>
      </c>
      <c r="D35" s="17">
        <v>1305794</v>
      </c>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row>
    <row r="36" spans="1:31" ht="18" customHeight="1" x14ac:dyDescent="0.35">
      <c r="A36" s="32" t="s">
        <v>1452</v>
      </c>
      <c r="B36" s="33">
        <v>21675794</v>
      </c>
      <c r="C36" s="34">
        <v>24381373</v>
      </c>
      <c r="D36" s="22">
        <v>2705579</v>
      </c>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row>
    <row r="37" spans="1:31" ht="18" customHeight="1" x14ac:dyDescent="0.35">
      <c r="A37" s="35" t="s">
        <v>1453</v>
      </c>
      <c r="B37" s="36">
        <v>25839131</v>
      </c>
      <c r="C37" s="37">
        <v>28020811</v>
      </c>
      <c r="D37" s="17">
        <v>2181680</v>
      </c>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row>
    <row r="38" spans="1:31" ht="18" customHeight="1" x14ac:dyDescent="0.35">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row>
    <row r="39" spans="1:31" ht="18" customHeight="1" x14ac:dyDescent="0.3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row>
    <row r="40" spans="1:31" ht="18" customHeight="1" x14ac:dyDescent="0.3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row>
    <row r="41" spans="1:31" ht="18" customHeight="1" x14ac:dyDescent="0.3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row>
    <row r="42" spans="1:31" ht="18" customHeight="1" x14ac:dyDescent="0.3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row>
    <row r="43" spans="1:31" ht="18" customHeight="1" x14ac:dyDescent="0.35">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row>
    <row r="44" spans="1:31" ht="18" customHeight="1" x14ac:dyDescent="0.3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row>
    <row r="45" spans="1:31" ht="18" customHeight="1" x14ac:dyDescent="0.3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row>
    <row r="46" spans="1:31" ht="18" customHeight="1" x14ac:dyDescent="0.3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row>
    <row r="47" spans="1:31" ht="18" customHeight="1" x14ac:dyDescent="0.3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row>
    <row r="48" spans="1:31" ht="18" customHeight="1" x14ac:dyDescent="0.3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row>
    <row r="49" spans="1:31" ht="18" customHeight="1" x14ac:dyDescent="0.3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row>
    <row r="50" spans="1:31" ht="18" customHeight="1" x14ac:dyDescent="0.3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row>
    <row r="51" spans="1:31" ht="18" customHeight="1" x14ac:dyDescent="0.3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row>
    <row r="52" spans="1:31" ht="18" customHeight="1" x14ac:dyDescent="0.3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row>
    <row r="53" spans="1:31" ht="18" customHeight="1" x14ac:dyDescent="0.3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row>
    <row r="54" spans="1:31" ht="18" customHeight="1" x14ac:dyDescent="0.3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row>
    <row r="55" spans="1:31" ht="18" customHeight="1" x14ac:dyDescent="0.3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row>
    <row r="56" spans="1:31" ht="18" customHeight="1" x14ac:dyDescent="0.3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row>
    <row r="57" spans="1:31" ht="18" customHeight="1" x14ac:dyDescent="0.3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row>
    <row r="58" spans="1:31" ht="18" customHeight="1" x14ac:dyDescent="0.3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row>
    <row r="59" spans="1:31" ht="18" customHeight="1" x14ac:dyDescent="0.3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row>
    <row r="60" spans="1:31" ht="18" customHeight="1" x14ac:dyDescent="0.35">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row>
    <row r="61" spans="1:31" ht="18" customHeight="1" x14ac:dyDescent="0.35">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row>
    <row r="62" spans="1:31" ht="18" customHeight="1" x14ac:dyDescent="0.35">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row>
    <row r="63" spans="1:31" ht="18" customHeight="1" x14ac:dyDescent="0.3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row>
    <row r="64" spans="1:31" ht="18" customHeight="1" x14ac:dyDescent="0.3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row>
    <row r="65" spans="1:31" ht="18" customHeight="1" x14ac:dyDescent="0.3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row>
    <row r="66" spans="1:31" ht="18" customHeight="1" x14ac:dyDescent="0.3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row>
    <row r="67" spans="1:31" ht="18" customHeight="1" x14ac:dyDescent="0.35">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row>
    <row r="68" spans="1:31" ht="18" customHeight="1" x14ac:dyDescent="0.35">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row>
    <row r="69" spans="1:31" ht="18" customHeight="1" x14ac:dyDescent="0.35">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row>
    <row r="70" spans="1:31" ht="18" customHeight="1" x14ac:dyDescent="0.35">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row>
    <row r="71" spans="1:31" ht="18" customHeight="1" x14ac:dyDescent="0.35">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row>
    <row r="72" spans="1:31" ht="18" customHeight="1" x14ac:dyDescent="0.35">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row>
    <row r="73" spans="1:31" ht="18" customHeight="1" x14ac:dyDescent="0.35">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row>
    <row r="74" spans="1:31" ht="18" customHeight="1" x14ac:dyDescent="0.35">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row>
    <row r="75" spans="1:31" ht="18" customHeight="1" x14ac:dyDescent="0.3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row>
    <row r="76" spans="1:31" ht="18" customHeight="1" x14ac:dyDescent="0.35">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row>
    <row r="77" spans="1:31" ht="18" customHeight="1" x14ac:dyDescent="0.35">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row>
    <row r="78" spans="1:31" ht="18" customHeight="1" x14ac:dyDescent="0.35">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row>
    <row r="79" spans="1:31" ht="18" customHeight="1" x14ac:dyDescent="0.35">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row>
  </sheetData>
  <mergeCells count="41">
    <mergeCell ref="A13:B13"/>
    <mergeCell ref="H7:K7"/>
    <mergeCell ref="V4:AA4"/>
    <mergeCell ref="A1:AE1"/>
    <mergeCell ref="H6:K6"/>
    <mergeCell ref="A7:D7"/>
    <mergeCell ref="S6:T6"/>
    <mergeCell ref="O5:R5"/>
    <mergeCell ref="Z5:AA5"/>
    <mergeCell ref="L6:M6"/>
    <mergeCell ref="E7:F7"/>
    <mergeCell ref="S5:T5"/>
    <mergeCell ref="H4:M4"/>
    <mergeCell ref="V6:Y6"/>
    <mergeCell ref="A12:H12"/>
    <mergeCell ref="E6:F6"/>
    <mergeCell ref="Z8:AA8"/>
    <mergeCell ref="A6:D6"/>
    <mergeCell ref="V8:Y8"/>
    <mergeCell ref="W12:AD12"/>
    <mergeCell ref="L5:M5"/>
    <mergeCell ref="A4:F4"/>
    <mergeCell ref="L8:M8"/>
    <mergeCell ref="O6:R6"/>
    <mergeCell ref="V5:Y5"/>
    <mergeCell ref="A5:D5"/>
    <mergeCell ref="A2:AE2"/>
    <mergeCell ref="A8:D8"/>
    <mergeCell ref="L7:M7"/>
    <mergeCell ref="Z6:AA6"/>
    <mergeCell ref="O8:R8"/>
    <mergeCell ref="O4:T4"/>
    <mergeCell ref="E5:F5"/>
    <mergeCell ref="V7:Y7"/>
    <mergeCell ref="E8:F8"/>
    <mergeCell ref="H5:K5"/>
    <mergeCell ref="S8:T8"/>
    <mergeCell ref="Z7:AA7"/>
    <mergeCell ref="H8:K8"/>
    <mergeCell ref="S7:T7"/>
    <mergeCell ref="O7:R7"/>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8D4"/>
  </sheetPr>
  <dimension ref="A1:AA59"/>
  <sheetViews>
    <sheetView showGridLines="0" workbookViewId="0">
      <selection sqref="A1:Z1"/>
    </sheetView>
  </sheetViews>
  <sheetFormatPr defaultRowHeight="14.5" x14ac:dyDescent="0.35"/>
  <cols>
    <col min="1" max="1" width="6" customWidth="1"/>
    <col min="2" max="2" width="7" customWidth="1"/>
    <col min="3" max="3" width="20" customWidth="1"/>
    <col min="4" max="4" width="13" customWidth="1"/>
    <col min="5" max="5" width="14" customWidth="1"/>
    <col min="6" max="6" width="12" customWidth="1"/>
    <col min="7" max="7" width="8" customWidth="1"/>
    <col min="8" max="8" width="9" customWidth="1"/>
    <col min="9" max="9" width="12" customWidth="1"/>
  </cols>
  <sheetData>
    <row r="1" spans="1:27" ht="26" customHeight="1" x14ac:dyDescent="0.35">
      <c r="A1" s="64" t="s">
        <v>1454</v>
      </c>
      <c r="B1" s="51"/>
      <c r="C1" s="51"/>
      <c r="D1" s="51"/>
      <c r="E1" s="51"/>
      <c r="F1" s="51"/>
      <c r="G1" s="51"/>
      <c r="H1" s="51"/>
      <c r="I1" s="51"/>
      <c r="J1" s="51"/>
      <c r="K1" s="51"/>
      <c r="L1" s="51"/>
      <c r="M1" s="51"/>
      <c r="N1" s="51"/>
      <c r="O1" s="51"/>
      <c r="P1" s="51"/>
      <c r="Q1" s="51"/>
      <c r="R1" s="51"/>
      <c r="S1" s="51"/>
      <c r="T1" s="51"/>
      <c r="U1" s="51"/>
      <c r="V1" s="51"/>
      <c r="W1" s="51"/>
      <c r="X1" s="51"/>
      <c r="Y1" s="51"/>
      <c r="Z1" s="51"/>
      <c r="AA1" s="26"/>
    </row>
    <row r="2" spans="1:27" ht="18" customHeight="1" x14ac:dyDescent="0.35">
      <c r="A2" s="26"/>
      <c r="B2" s="26"/>
      <c r="C2" s="26"/>
      <c r="D2" s="26"/>
      <c r="E2" s="26"/>
      <c r="F2" s="26"/>
      <c r="G2" s="26"/>
      <c r="H2" s="26"/>
      <c r="I2" s="26"/>
      <c r="J2" s="26"/>
      <c r="K2" s="26"/>
      <c r="L2" s="26"/>
      <c r="M2" s="26"/>
      <c r="N2" s="26"/>
      <c r="O2" s="26"/>
      <c r="P2" s="26"/>
      <c r="Q2" s="26"/>
      <c r="R2" s="26"/>
      <c r="S2" s="26"/>
      <c r="T2" s="26"/>
      <c r="U2" s="26"/>
      <c r="V2" s="26"/>
      <c r="W2" s="26"/>
      <c r="X2" s="26"/>
      <c r="Y2" s="26"/>
      <c r="Z2" s="26"/>
      <c r="AA2" s="26"/>
    </row>
    <row r="3" spans="1:27" ht="16" customHeight="1" x14ac:dyDescent="0.35">
      <c r="A3" s="58" t="s">
        <v>1455</v>
      </c>
      <c r="B3" s="51"/>
      <c r="C3" s="51"/>
      <c r="D3" s="51"/>
      <c r="E3" s="51"/>
      <c r="F3" s="51"/>
      <c r="G3" s="51"/>
      <c r="H3" s="51"/>
      <c r="I3" s="26"/>
      <c r="J3" s="26"/>
      <c r="K3" s="26"/>
      <c r="L3" s="26"/>
      <c r="M3" s="26"/>
      <c r="N3" s="26"/>
      <c r="O3" s="26"/>
      <c r="P3" s="26"/>
      <c r="Q3" s="26"/>
      <c r="R3" s="26"/>
      <c r="S3" s="26"/>
      <c r="T3" s="26"/>
      <c r="U3" s="26"/>
      <c r="V3" s="26"/>
      <c r="W3" s="26"/>
      <c r="X3" s="26"/>
      <c r="Y3" s="26"/>
      <c r="Z3" s="26"/>
      <c r="AA3" s="26"/>
    </row>
    <row r="4" spans="1:27" ht="18" customHeight="1" x14ac:dyDescent="0.35">
      <c r="A4" s="30" t="s">
        <v>1456</v>
      </c>
      <c r="B4" s="30" t="s">
        <v>3</v>
      </c>
      <c r="C4" s="30" t="s">
        <v>4</v>
      </c>
      <c r="D4" s="30" t="s">
        <v>5</v>
      </c>
      <c r="E4" s="30" t="s">
        <v>11</v>
      </c>
      <c r="F4" s="30" t="s">
        <v>13</v>
      </c>
      <c r="G4" s="30" t="s">
        <v>1429</v>
      </c>
      <c r="H4" s="30" t="s">
        <v>1457</v>
      </c>
      <c r="I4" s="30" t="s">
        <v>1458</v>
      </c>
      <c r="J4" s="26"/>
      <c r="K4" s="26"/>
      <c r="L4" s="26"/>
      <c r="M4" s="26"/>
      <c r="N4" s="26"/>
      <c r="O4" s="26"/>
      <c r="P4" s="26"/>
      <c r="Q4" s="26"/>
      <c r="R4" s="26"/>
      <c r="S4" s="26"/>
      <c r="T4" s="26"/>
      <c r="U4" s="26"/>
      <c r="V4" s="26"/>
      <c r="W4" s="26"/>
      <c r="X4" s="26"/>
      <c r="Y4" s="26"/>
      <c r="Z4" s="26"/>
      <c r="AA4" s="26"/>
    </row>
    <row r="5" spans="1:27" ht="18" customHeight="1" x14ac:dyDescent="0.35">
      <c r="A5" s="12">
        <v>1</v>
      </c>
      <c r="B5" s="13" t="s">
        <v>42</v>
      </c>
      <c r="C5" s="12" t="s">
        <v>43</v>
      </c>
      <c r="D5" s="14" t="s">
        <v>44</v>
      </c>
      <c r="E5" s="12">
        <v>58369632</v>
      </c>
      <c r="F5" s="17">
        <v>11976781</v>
      </c>
      <c r="G5" s="17">
        <v>20.5</v>
      </c>
      <c r="H5" s="12">
        <v>41</v>
      </c>
      <c r="I5" s="12">
        <v>292117</v>
      </c>
      <c r="J5" s="26"/>
      <c r="K5" s="26"/>
      <c r="L5" s="26"/>
      <c r="M5" s="26"/>
      <c r="N5" s="26"/>
      <c r="O5" s="26"/>
      <c r="P5" s="26"/>
      <c r="Q5" s="26"/>
      <c r="R5" s="26"/>
      <c r="S5" s="26"/>
      <c r="T5" s="26"/>
      <c r="U5" s="26"/>
      <c r="V5" s="26"/>
      <c r="W5" s="26"/>
      <c r="X5" s="26"/>
      <c r="Y5" s="26"/>
      <c r="Z5" s="26"/>
      <c r="AA5" s="26"/>
    </row>
    <row r="6" spans="1:27" ht="18" customHeight="1" x14ac:dyDescent="0.35">
      <c r="A6" s="18">
        <v>2</v>
      </c>
      <c r="B6" s="19" t="s">
        <v>20</v>
      </c>
      <c r="C6" s="18" t="s">
        <v>21</v>
      </c>
      <c r="D6" s="20" t="s">
        <v>22</v>
      </c>
      <c r="E6" s="18">
        <v>69922638</v>
      </c>
      <c r="F6" s="22">
        <v>8667476</v>
      </c>
      <c r="G6" s="22">
        <v>12.4</v>
      </c>
      <c r="H6" s="18">
        <v>44</v>
      </c>
      <c r="I6" s="18">
        <v>196988</v>
      </c>
      <c r="J6" s="26"/>
      <c r="K6" s="26"/>
      <c r="L6" s="26"/>
      <c r="M6" s="26"/>
      <c r="N6" s="26"/>
      <c r="O6" s="26"/>
      <c r="P6" s="26"/>
      <c r="Q6" s="26"/>
      <c r="R6" s="26"/>
      <c r="S6" s="26"/>
      <c r="T6" s="26"/>
      <c r="U6" s="26"/>
      <c r="V6" s="26"/>
      <c r="W6" s="26"/>
      <c r="X6" s="26"/>
      <c r="Y6" s="26"/>
      <c r="Z6" s="26"/>
      <c r="AA6" s="26"/>
    </row>
    <row r="7" spans="1:27" ht="18" customHeight="1" x14ac:dyDescent="0.35">
      <c r="A7" s="12">
        <v>3</v>
      </c>
      <c r="B7" s="13" t="s">
        <v>72</v>
      </c>
      <c r="C7" s="12" t="s">
        <v>73</v>
      </c>
      <c r="D7" s="14" t="s">
        <v>74</v>
      </c>
      <c r="E7" s="12">
        <v>42329037</v>
      </c>
      <c r="F7" s="17">
        <v>7109220</v>
      </c>
      <c r="G7" s="17">
        <v>16.8</v>
      </c>
      <c r="H7" s="12">
        <v>37</v>
      </c>
      <c r="I7" s="12">
        <v>192141</v>
      </c>
      <c r="J7" s="26"/>
      <c r="K7" s="26"/>
      <c r="L7" s="26"/>
      <c r="M7" s="26"/>
      <c r="N7" s="26"/>
      <c r="O7" s="26"/>
      <c r="P7" s="26"/>
      <c r="Q7" s="26"/>
      <c r="R7" s="26"/>
      <c r="S7" s="26"/>
      <c r="T7" s="26"/>
      <c r="U7" s="26"/>
      <c r="V7" s="26"/>
      <c r="W7" s="26"/>
      <c r="X7" s="26"/>
      <c r="Y7" s="26"/>
      <c r="Z7" s="26"/>
      <c r="AA7" s="26"/>
    </row>
    <row r="8" spans="1:27" ht="18" customHeight="1" x14ac:dyDescent="0.35">
      <c r="A8" s="18">
        <v>4</v>
      </c>
      <c r="B8" s="19" t="s">
        <v>83</v>
      </c>
      <c r="C8" s="18" t="s">
        <v>84</v>
      </c>
      <c r="D8" s="20" t="s">
        <v>55</v>
      </c>
      <c r="E8" s="18">
        <v>29050503</v>
      </c>
      <c r="F8" s="22">
        <v>6960967</v>
      </c>
      <c r="G8" s="22">
        <v>24</v>
      </c>
      <c r="H8" s="18">
        <v>31</v>
      </c>
      <c r="I8" s="18">
        <v>224547</v>
      </c>
      <c r="J8" s="26"/>
      <c r="K8" s="26"/>
      <c r="L8" s="26"/>
      <c r="M8" s="26"/>
      <c r="N8" s="26"/>
      <c r="O8" s="26"/>
      <c r="P8" s="26"/>
      <c r="Q8" s="26"/>
      <c r="R8" s="26"/>
      <c r="S8" s="26"/>
      <c r="T8" s="26"/>
      <c r="U8" s="26"/>
      <c r="V8" s="26"/>
      <c r="W8" s="26"/>
      <c r="X8" s="26"/>
      <c r="Y8" s="26"/>
      <c r="Z8" s="26"/>
      <c r="AA8" s="26"/>
    </row>
    <row r="9" spans="1:27" ht="18" customHeight="1" x14ac:dyDescent="0.35">
      <c r="A9" s="12">
        <v>5</v>
      </c>
      <c r="B9" s="13" t="s">
        <v>103</v>
      </c>
      <c r="C9" s="12" t="s">
        <v>104</v>
      </c>
      <c r="D9" s="14" t="s">
        <v>22</v>
      </c>
      <c r="E9" s="12">
        <v>41647652</v>
      </c>
      <c r="F9" s="17">
        <v>5374616</v>
      </c>
      <c r="G9" s="17">
        <v>12.9</v>
      </c>
      <c r="H9" s="12">
        <v>56</v>
      </c>
      <c r="I9" s="12">
        <v>95975</v>
      </c>
      <c r="J9" s="26"/>
      <c r="K9" s="26"/>
      <c r="L9" s="26"/>
      <c r="M9" s="26"/>
      <c r="N9" s="26"/>
      <c r="O9" s="26"/>
      <c r="P9" s="26"/>
      <c r="Q9" s="26"/>
      <c r="R9" s="26"/>
      <c r="S9" s="26"/>
      <c r="T9" s="26"/>
      <c r="U9" s="26"/>
      <c r="V9" s="26"/>
      <c r="W9" s="26"/>
      <c r="X9" s="26"/>
      <c r="Y9" s="26"/>
      <c r="Z9" s="26"/>
      <c r="AA9" s="26"/>
    </row>
    <row r="10" spans="1:27" ht="18" customHeight="1" x14ac:dyDescent="0.35">
      <c r="A10" s="18">
        <v>6</v>
      </c>
      <c r="B10" s="19" t="s">
        <v>28</v>
      </c>
      <c r="C10" s="18" t="s">
        <v>29</v>
      </c>
      <c r="D10" s="20" t="s">
        <v>30</v>
      </c>
      <c r="E10" s="18">
        <v>29165975</v>
      </c>
      <c r="F10" s="22">
        <v>4392488</v>
      </c>
      <c r="G10" s="22">
        <v>15.1</v>
      </c>
      <c r="H10" s="18">
        <v>43</v>
      </c>
      <c r="I10" s="18">
        <v>102151</v>
      </c>
      <c r="J10" s="26"/>
      <c r="K10" s="26"/>
      <c r="L10" s="26"/>
      <c r="M10" s="26"/>
      <c r="N10" s="26"/>
      <c r="O10" s="26"/>
      <c r="P10" s="26"/>
      <c r="Q10" s="26"/>
      <c r="R10" s="26"/>
      <c r="S10" s="26"/>
      <c r="T10" s="26"/>
      <c r="U10" s="26"/>
      <c r="V10" s="26"/>
      <c r="W10" s="26"/>
      <c r="X10" s="26"/>
      <c r="Y10" s="26"/>
      <c r="Z10" s="26"/>
      <c r="AA10" s="26"/>
    </row>
    <row r="11" spans="1:27" ht="18" customHeight="1" x14ac:dyDescent="0.35">
      <c r="A11" s="12">
        <v>7</v>
      </c>
      <c r="B11" s="13" t="s">
        <v>36</v>
      </c>
      <c r="C11" s="12" t="s">
        <v>37</v>
      </c>
      <c r="D11" s="14" t="s">
        <v>30</v>
      </c>
      <c r="E11" s="12">
        <v>28049060</v>
      </c>
      <c r="F11" s="17">
        <v>4058222</v>
      </c>
      <c r="G11" s="17">
        <v>14.5</v>
      </c>
      <c r="H11" s="12">
        <v>47</v>
      </c>
      <c r="I11" s="12">
        <v>86345</v>
      </c>
      <c r="J11" s="26"/>
      <c r="K11" s="26"/>
      <c r="L11" s="26"/>
      <c r="M11" s="26"/>
      <c r="N11" s="26"/>
      <c r="O11" s="26"/>
      <c r="P11" s="26"/>
      <c r="Q11" s="26"/>
      <c r="R11" s="26"/>
      <c r="S11" s="26"/>
      <c r="T11" s="26"/>
      <c r="U11" s="26"/>
      <c r="V11" s="26"/>
      <c r="W11" s="26"/>
      <c r="X11" s="26"/>
      <c r="Y11" s="26"/>
      <c r="Z11" s="26"/>
      <c r="AA11" s="26"/>
    </row>
    <row r="12" spans="1:27" ht="18" customHeight="1" x14ac:dyDescent="0.35">
      <c r="A12" s="18">
        <v>8</v>
      </c>
      <c r="B12" s="19" t="s">
        <v>87</v>
      </c>
      <c r="C12" s="18" t="s">
        <v>88</v>
      </c>
      <c r="D12" s="20" t="s">
        <v>22</v>
      </c>
      <c r="E12" s="18">
        <v>49892640</v>
      </c>
      <c r="F12" s="22">
        <v>4042491</v>
      </c>
      <c r="G12" s="22">
        <v>8.1</v>
      </c>
      <c r="H12" s="18">
        <v>50</v>
      </c>
      <c r="I12" s="18">
        <v>80850</v>
      </c>
      <c r="J12" s="26"/>
      <c r="K12" s="26"/>
      <c r="L12" s="26"/>
      <c r="M12" s="26"/>
      <c r="N12" s="26"/>
      <c r="O12" s="26"/>
      <c r="P12" s="26"/>
      <c r="Q12" s="26"/>
      <c r="R12" s="26"/>
      <c r="S12" s="26"/>
      <c r="T12" s="26"/>
      <c r="U12" s="26"/>
      <c r="V12" s="26"/>
      <c r="W12" s="26"/>
      <c r="X12" s="26"/>
      <c r="Y12" s="26"/>
      <c r="Z12" s="26"/>
      <c r="AA12" s="26"/>
    </row>
    <row r="13" spans="1:27" ht="18" customHeight="1" x14ac:dyDescent="0.35">
      <c r="A13" s="12">
        <v>9</v>
      </c>
      <c r="B13" s="13" t="s">
        <v>115</v>
      </c>
      <c r="C13" s="12" t="s">
        <v>116</v>
      </c>
      <c r="D13" s="14" t="s">
        <v>55</v>
      </c>
      <c r="E13" s="12">
        <v>66870085</v>
      </c>
      <c r="F13" s="17">
        <v>3301363</v>
      </c>
      <c r="G13" s="17">
        <v>4.9000000000000004</v>
      </c>
      <c r="H13" s="12">
        <v>40</v>
      </c>
      <c r="I13" s="12">
        <v>82534</v>
      </c>
      <c r="J13" s="26"/>
      <c r="K13" s="26"/>
      <c r="L13" s="26"/>
      <c r="M13" s="26"/>
      <c r="N13" s="26"/>
      <c r="O13" s="26"/>
      <c r="P13" s="26"/>
      <c r="Q13" s="26"/>
      <c r="R13" s="26"/>
      <c r="S13" s="26"/>
      <c r="T13" s="26"/>
      <c r="U13" s="26"/>
      <c r="V13" s="26"/>
      <c r="W13" s="26"/>
      <c r="X13" s="26"/>
      <c r="Y13" s="26"/>
      <c r="Z13" s="26"/>
      <c r="AA13" s="26"/>
    </row>
    <row r="14" spans="1:27" ht="18" customHeight="1" x14ac:dyDescent="0.35">
      <c r="A14" s="18">
        <v>10</v>
      </c>
      <c r="B14" s="19" t="s">
        <v>178</v>
      </c>
      <c r="C14" s="18" t="s">
        <v>179</v>
      </c>
      <c r="D14" s="20" t="s">
        <v>22</v>
      </c>
      <c r="E14" s="18">
        <v>14897065</v>
      </c>
      <c r="F14" s="22">
        <v>3096691</v>
      </c>
      <c r="G14" s="22">
        <v>20.8</v>
      </c>
      <c r="H14" s="18">
        <v>32</v>
      </c>
      <c r="I14" s="18">
        <v>96772</v>
      </c>
      <c r="J14" s="26"/>
      <c r="K14" s="26"/>
      <c r="L14" s="26"/>
      <c r="M14" s="26"/>
      <c r="N14" s="26"/>
      <c r="O14" s="26"/>
      <c r="P14" s="26"/>
      <c r="Q14" s="26"/>
      <c r="R14" s="26"/>
      <c r="S14" s="26"/>
      <c r="T14" s="26"/>
      <c r="U14" s="26"/>
      <c r="V14" s="26"/>
      <c r="W14" s="26"/>
      <c r="X14" s="26"/>
      <c r="Y14" s="26"/>
      <c r="Z14" s="26"/>
      <c r="AA14" s="26"/>
    </row>
    <row r="15" spans="1:27" ht="18" customHeight="1" x14ac:dyDescent="0.35">
      <c r="A15" s="12">
        <v>11</v>
      </c>
      <c r="B15" s="13" t="s">
        <v>77</v>
      </c>
      <c r="C15" s="12" t="s">
        <v>78</v>
      </c>
      <c r="D15" s="14" t="s">
        <v>44</v>
      </c>
      <c r="E15" s="12">
        <v>17184928</v>
      </c>
      <c r="F15" s="17">
        <v>3093321</v>
      </c>
      <c r="G15" s="17">
        <v>18</v>
      </c>
      <c r="H15" s="12">
        <v>40</v>
      </c>
      <c r="I15" s="12">
        <v>77333</v>
      </c>
      <c r="J15" s="26"/>
      <c r="K15" s="26"/>
      <c r="L15" s="26"/>
      <c r="M15" s="26"/>
      <c r="N15" s="26"/>
      <c r="O15" s="26"/>
      <c r="P15" s="26"/>
      <c r="Q15" s="26"/>
      <c r="R15" s="26"/>
      <c r="S15" s="26"/>
      <c r="T15" s="26"/>
      <c r="U15" s="26"/>
      <c r="V15" s="26"/>
      <c r="W15" s="26"/>
      <c r="X15" s="26"/>
      <c r="Y15" s="26"/>
      <c r="Z15" s="26"/>
      <c r="AA15" s="26"/>
    </row>
    <row r="16" spans="1:27" ht="18" customHeight="1" x14ac:dyDescent="0.35">
      <c r="A16" s="18">
        <v>12</v>
      </c>
      <c r="B16" s="19" t="s">
        <v>215</v>
      </c>
      <c r="C16" s="18" t="s">
        <v>216</v>
      </c>
      <c r="D16" s="20" t="s">
        <v>50</v>
      </c>
      <c r="E16" s="18">
        <v>20096421</v>
      </c>
      <c r="F16" s="22">
        <v>2819080</v>
      </c>
      <c r="G16" s="22">
        <v>14</v>
      </c>
      <c r="H16" s="18">
        <v>44</v>
      </c>
      <c r="I16" s="18">
        <v>64070</v>
      </c>
      <c r="J16" s="26"/>
      <c r="K16" s="26"/>
      <c r="L16" s="26"/>
      <c r="M16" s="26"/>
      <c r="N16" s="26"/>
      <c r="O16" s="26"/>
      <c r="P16" s="26"/>
      <c r="Q16" s="26"/>
      <c r="R16" s="26"/>
      <c r="S16" s="26"/>
      <c r="T16" s="26"/>
      <c r="U16" s="26"/>
      <c r="V16" s="26"/>
      <c r="W16" s="26"/>
      <c r="X16" s="26"/>
      <c r="Y16" s="26"/>
      <c r="Z16" s="26"/>
      <c r="AA16" s="26"/>
    </row>
    <row r="17" spans="1:27" ht="18" customHeight="1" x14ac:dyDescent="0.35">
      <c r="A17" s="12">
        <v>13</v>
      </c>
      <c r="B17" s="13" t="s">
        <v>60</v>
      </c>
      <c r="C17" s="12" t="s">
        <v>61</v>
      </c>
      <c r="D17" s="14" t="s">
        <v>22</v>
      </c>
      <c r="E17" s="12">
        <v>16260638</v>
      </c>
      <c r="F17" s="17">
        <v>2682515</v>
      </c>
      <c r="G17" s="17">
        <v>16.5</v>
      </c>
      <c r="H17" s="12">
        <v>37</v>
      </c>
      <c r="I17" s="12">
        <v>72500</v>
      </c>
      <c r="J17" s="26"/>
      <c r="K17" s="26"/>
      <c r="L17" s="26"/>
      <c r="M17" s="26"/>
      <c r="N17" s="26"/>
      <c r="O17" s="26"/>
      <c r="P17" s="26"/>
      <c r="Q17" s="26"/>
      <c r="R17" s="26"/>
      <c r="S17" s="26"/>
      <c r="T17" s="26"/>
      <c r="U17" s="26"/>
      <c r="V17" s="26"/>
      <c r="W17" s="26"/>
      <c r="X17" s="26"/>
      <c r="Y17" s="26"/>
      <c r="Z17" s="26"/>
      <c r="AA17" s="26"/>
    </row>
    <row r="18" spans="1:27" ht="18" customHeight="1" x14ac:dyDescent="0.35">
      <c r="A18" s="18">
        <v>14</v>
      </c>
      <c r="B18" s="19" t="s">
        <v>150</v>
      </c>
      <c r="C18" s="18" t="s">
        <v>151</v>
      </c>
      <c r="D18" s="20" t="s">
        <v>55</v>
      </c>
      <c r="E18" s="18">
        <v>13369974</v>
      </c>
      <c r="F18" s="22">
        <v>1859696</v>
      </c>
      <c r="G18" s="22">
        <v>13.9</v>
      </c>
      <c r="H18" s="18">
        <v>38</v>
      </c>
      <c r="I18" s="18">
        <v>48939</v>
      </c>
      <c r="J18" s="26"/>
      <c r="K18" s="26"/>
      <c r="L18" s="26"/>
      <c r="M18" s="26"/>
      <c r="N18" s="26"/>
      <c r="O18" s="26"/>
      <c r="P18" s="26"/>
      <c r="Q18" s="26"/>
      <c r="R18" s="26"/>
      <c r="S18" s="26"/>
      <c r="T18" s="26"/>
      <c r="U18" s="26"/>
      <c r="V18" s="26"/>
      <c r="W18" s="26"/>
      <c r="X18" s="26"/>
      <c r="Y18" s="26"/>
      <c r="Z18" s="26"/>
      <c r="AA18" s="26"/>
    </row>
    <row r="19" spans="1:27" ht="18" customHeight="1" x14ac:dyDescent="0.35">
      <c r="A19" s="12">
        <v>15</v>
      </c>
      <c r="B19" s="13" t="s">
        <v>170</v>
      </c>
      <c r="C19" s="12" t="s">
        <v>171</v>
      </c>
      <c r="D19" s="14" t="s">
        <v>97</v>
      </c>
      <c r="E19" s="12">
        <v>14039879</v>
      </c>
      <c r="F19" s="17">
        <v>1660840</v>
      </c>
      <c r="G19" s="17">
        <v>11.8</v>
      </c>
      <c r="H19" s="12">
        <v>39</v>
      </c>
      <c r="I19" s="12">
        <v>42586</v>
      </c>
      <c r="J19" s="26"/>
      <c r="K19" s="26"/>
      <c r="L19" s="26"/>
      <c r="M19" s="26"/>
      <c r="N19" s="26"/>
      <c r="O19" s="26"/>
      <c r="P19" s="26"/>
      <c r="Q19" s="26"/>
      <c r="R19" s="26"/>
      <c r="S19" s="26"/>
      <c r="T19" s="26"/>
      <c r="U19" s="26"/>
      <c r="V19" s="26"/>
      <c r="W19" s="26"/>
      <c r="X19" s="26"/>
      <c r="Y19" s="26"/>
      <c r="Z19" s="26"/>
      <c r="AA19" s="26"/>
    </row>
    <row r="20" spans="1:27" ht="18" customHeight="1" x14ac:dyDescent="0.35">
      <c r="A20" s="18">
        <v>16</v>
      </c>
      <c r="B20" s="19" t="s">
        <v>95</v>
      </c>
      <c r="C20" s="18" t="s">
        <v>96</v>
      </c>
      <c r="D20" s="20" t="s">
        <v>97</v>
      </c>
      <c r="E20" s="18">
        <v>14863832</v>
      </c>
      <c r="F20" s="22">
        <v>1296986</v>
      </c>
      <c r="G20" s="22">
        <v>8.6999999999999993</v>
      </c>
      <c r="H20" s="18">
        <v>25</v>
      </c>
      <c r="I20" s="18">
        <v>51879</v>
      </c>
      <c r="J20" s="26"/>
      <c r="K20" s="26"/>
      <c r="L20" s="26"/>
      <c r="M20" s="26"/>
      <c r="N20" s="26"/>
      <c r="O20" s="26"/>
      <c r="P20" s="26"/>
      <c r="Q20" s="26"/>
      <c r="R20" s="26"/>
      <c r="S20" s="26"/>
      <c r="T20" s="26"/>
      <c r="U20" s="26"/>
      <c r="V20" s="26"/>
      <c r="W20" s="26"/>
      <c r="X20" s="26"/>
      <c r="Y20" s="26"/>
      <c r="Z20" s="26"/>
      <c r="AA20" s="26"/>
    </row>
    <row r="21" spans="1:27" ht="18" customHeight="1" x14ac:dyDescent="0.35">
      <c r="A21" s="12">
        <v>17</v>
      </c>
      <c r="B21" s="13" t="s">
        <v>48</v>
      </c>
      <c r="C21" s="12" t="s">
        <v>49</v>
      </c>
      <c r="D21" s="14" t="s">
        <v>50</v>
      </c>
      <c r="E21" s="12">
        <v>5799413</v>
      </c>
      <c r="F21" s="17">
        <v>924025</v>
      </c>
      <c r="G21" s="17">
        <v>15.9</v>
      </c>
      <c r="H21" s="12">
        <v>37</v>
      </c>
      <c r="I21" s="12">
        <v>24974</v>
      </c>
      <c r="J21" s="26"/>
      <c r="K21" s="26"/>
      <c r="L21" s="26"/>
      <c r="M21" s="26"/>
      <c r="N21" s="26"/>
      <c r="O21" s="26"/>
      <c r="P21" s="26"/>
      <c r="Q21" s="26"/>
      <c r="R21" s="26"/>
      <c r="S21" s="26"/>
      <c r="T21" s="26"/>
      <c r="U21" s="26"/>
      <c r="V21" s="26"/>
      <c r="W21" s="26"/>
      <c r="X21" s="26"/>
      <c r="Y21" s="26"/>
      <c r="Z21" s="26"/>
      <c r="AA21" s="26"/>
    </row>
    <row r="22" spans="1:27" ht="18" customHeight="1" x14ac:dyDescent="0.35">
      <c r="A22" s="18">
        <v>18</v>
      </c>
      <c r="B22" s="19" t="s">
        <v>119</v>
      </c>
      <c r="C22" s="18" t="s">
        <v>120</v>
      </c>
      <c r="D22" s="20" t="s">
        <v>44</v>
      </c>
      <c r="E22" s="18">
        <v>4736275</v>
      </c>
      <c r="F22" s="22">
        <v>921651</v>
      </c>
      <c r="G22" s="22">
        <v>19.5</v>
      </c>
      <c r="H22" s="18">
        <v>48</v>
      </c>
      <c r="I22" s="18">
        <v>19201</v>
      </c>
      <c r="J22" s="26"/>
      <c r="K22" s="26"/>
      <c r="L22" s="26"/>
      <c r="M22" s="26"/>
      <c r="N22" s="26"/>
      <c r="O22" s="26"/>
      <c r="P22" s="26"/>
      <c r="Q22" s="26"/>
      <c r="R22" s="26"/>
      <c r="S22" s="26"/>
      <c r="T22" s="26"/>
      <c r="U22" s="26"/>
      <c r="V22" s="26"/>
      <c r="W22" s="26"/>
      <c r="X22" s="26"/>
      <c r="Y22" s="26"/>
      <c r="Z22" s="26"/>
      <c r="AA22" s="26"/>
    </row>
    <row r="23" spans="1:27" ht="18" customHeight="1" x14ac:dyDescent="0.35">
      <c r="A23" s="12">
        <v>19</v>
      </c>
      <c r="B23" s="13" t="s">
        <v>137</v>
      </c>
      <c r="C23" s="12" t="s">
        <v>138</v>
      </c>
      <c r="D23" s="14" t="s">
        <v>50</v>
      </c>
      <c r="E23" s="12">
        <v>8651781</v>
      </c>
      <c r="F23" s="17">
        <v>801631</v>
      </c>
      <c r="G23" s="17">
        <v>9.3000000000000007</v>
      </c>
      <c r="H23" s="12">
        <v>32</v>
      </c>
      <c r="I23" s="12">
        <v>25051</v>
      </c>
      <c r="J23" s="26"/>
      <c r="K23" s="26"/>
      <c r="L23" s="26"/>
      <c r="M23" s="26"/>
      <c r="N23" s="26"/>
      <c r="O23" s="26"/>
      <c r="P23" s="26"/>
      <c r="Q23" s="26"/>
      <c r="R23" s="26"/>
      <c r="S23" s="26"/>
      <c r="T23" s="26"/>
      <c r="U23" s="26"/>
      <c r="V23" s="26"/>
      <c r="W23" s="26"/>
      <c r="X23" s="26"/>
      <c r="Y23" s="26"/>
      <c r="Z23" s="26"/>
      <c r="AA23" s="26"/>
    </row>
    <row r="24" spans="1:27" ht="18" customHeight="1" x14ac:dyDescent="0.35">
      <c r="A24" s="18">
        <v>20</v>
      </c>
      <c r="B24" s="19" t="s">
        <v>53</v>
      </c>
      <c r="C24" s="18" t="s">
        <v>54</v>
      </c>
      <c r="D24" s="20" t="s">
        <v>55</v>
      </c>
      <c r="E24" s="18">
        <v>8469445</v>
      </c>
      <c r="F24" s="22">
        <v>614757</v>
      </c>
      <c r="G24" s="22">
        <v>7.3</v>
      </c>
      <c r="H24" s="18">
        <v>39</v>
      </c>
      <c r="I24" s="18">
        <v>15763</v>
      </c>
      <c r="J24" s="26"/>
      <c r="K24" s="26"/>
      <c r="L24" s="26"/>
      <c r="M24" s="26"/>
      <c r="N24" s="26"/>
      <c r="O24" s="26"/>
      <c r="P24" s="26"/>
      <c r="Q24" s="26"/>
      <c r="R24" s="26"/>
      <c r="S24" s="26"/>
      <c r="T24" s="26"/>
      <c r="U24" s="26"/>
      <c r="V24" s="26"/>
      <c r="W24" s="26"/>
      <c r="X24" s="26"/>
      <c r="Y24" s="26"/>
      <c r="Z24" s="26"/>
      <c r="AA24" s="26"/>
    </row>
    <row r="25" spans="1:27" ht="18" customHeight="1" x14ac:dyDescent="0.3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row>
    <row r="26" spans="1:27" ht="18" customHeight="1" x14ac:dyDescent="0.35">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row>
    <row r="27" spans="1:27" ht="18" customHeight="1" x14ac:dyDescent="0.35">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row>
    <row r="28" spans="1:27" ht="18" customHeight="1" x14ac:dyDescent="0.35">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row>
    <row r="29" spans="1:27" ht="18" customHeight="1" x14ac:dyDescent="0.35">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row>
    <row r="30" spans="1:27" ht="18" customHeight="1" x14ac:dyDescent="0.35">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row>
    <row r="31" spans="1:27" ht="18" customHeight="1" x14ac:dyDescent="0.35">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row>
    <row r="32" spans="1:27" ht="18" customHeight="1" x14ac:dyDescent="0.35">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row>
    <row r="33" spans="1:27" ht="18" customHeight="1" x14ac:dyDescent="0.35">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row>
    <row r="34" spans="1:27" ht="18" customHeight="1" x14ac:dyDescent="0.35">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row>
    <row r="35" spans="1:27" ht="18" customHeight="1" x14ac:dyDescent="0.3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row>
    <row r="36" spans="1:27" ht="18" customHeight="1" x14ac:dyDescent="0.3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row>
    <row r="37" spans="1:27" ht="18" customHeight="1" x14ac:dyDescent="0.35">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row>
    <row r="38" spans="1:27" ht="18" customHeight="1" x14ac:dyDescent="0.35">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row>
    <row r="39" spans="1:27" ht="18" customHeight="1" x14ac:dyDescent="0.3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row>
    <row r="40" spans="1:27" ht="18" customHeight="1" x14ac:dyDescent="0.3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row>
    <row r="41" spans="1:27" ht="18" customHeight="1" x14ac:dyDescent="0.3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row>
    <row r="42" spans="1:27" ht="18" customHeight="1" x14ac:dyDescent="0.3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row>
    <row r="43" spans="1:27" ht="18" customHeight="1" x14ac:dyDescent="0.35">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row>
    <row r="44" spans="1:27" ht="18" customHeight="1" x14ac:dyDescent="0.3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row>
    <row r="45" spans="1:27" ht="18" customHeight="1" x14ac:dyDescent="0.3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row>
    <row r="46" spans="1:27" ht="18" customHeight="1" x14ac:dyDescent="0.3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row>
    <row r="47" spans="1:27" ht="18" customHeight="1" x14ac:dyDescent="0.3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row>
    <row r="48" spans="1:27" ht="18" customHeight="1" x14ac:dyDescent="0.3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row>
    <row r="49" spans="1:27" ht="18" customHeight="1" x14ac:dyDescent="0.3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row>
    <row r="50" spans="1:27" ht="18" customHeight="1" x14ac:dyDescent="0.3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row>
    <row r="51" spans="1:27" ht="18" customHeight="1" x14ac:dyDescent="0.3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row>
    <row r="52" spans="1:27" ht="18" customHeight="1" x14ac:dyDescent="0.3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row>
    <row r="53" spans="1:27" ht="18" customHeight="1" x14ac:dyDescent="0.3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row>
    <row r="54" spans="1:27" ht="18" customHeight="1" x14ac:dyDescent="0.3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row>
    <row r="55" spans="1:27" ht="18" customHeight="1" x14ac:dyDescent="0.3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row>
    <row r="56" spans="1:27" ht="18" customHeight="1" x14ac:dyDescent="0.3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row>
    <row r="57" spans="1:27" ht="18" customHeight="1" x14ac:dyDescent="0.3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row>
    <row r="58" spans="1:27" ht="18" customHeight="1" x14ac:dyDescent="0.3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row>
    <row r="59" spans="1:27" ht="18" customHeight="1" x14ac:dyDescent="0.3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row>
  </sheetData>
  <mergeCells count="2">
    <mergeCell ref="A1:Z1"/>
    <mergeCell ref="A3:H3"/>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1744"/>
  </sheetPr>
  <dimension ref="A1:AC69"/>
  <sheetViews>
    <sheetView showGridLines="0" workbookViewId="0">
      <selection sqref="A1:Z1"/>
    </sheetView>
  </sheetViews>
  <sheetFormatPr defaultRowHeight="14.5" x14ac:dyDescent="0.35"/>
  <cols>
    <col min="1" max="1" width="7" customWidth="1"/>
    <col min="2" max="4" width="9" customWidth="1"/>
    <col min="5" max="5" width="7" customWidth="1"/>
    <col min="6" max="7" width="9" customWidth="1"/>
    <col min="8" max="8" width="11" customWidth="1"/>
    <col min="9" max="11" width="2" customWidth="1"/>
    <col min="12" max="12" width="14" customWidth="1"/>
    <col min="13" max="15" width="8" customWidth="1"/>
  </cols>
  <sheetData>
    <row r="1" spans="1:29" ht="26" customHeight="1" x14ac:dyDescent="0.35">
      <c r="A1" s="71" t="s">
        <v>1459</v>
      </c>
      <c r="B1" s="51"/>
      <c r="C1" s="51"/>
      <c r="D1" s="51"/>
      <c r="E1" s="51"/>
      <c r="F1" s="51"/>
      <c r="G1" s="51"/>
      <c r="H1" s="51"/>
      <c r="I1" s="51"/>
      <c r="J1" s="51"/>
      <c r="K1" s="51"/>
      <c r="L1" s="51"/>
      <c r="M1" s="51"/>
      <c r="N1" s="51"/>
      <c r="O1" s="51"/>
      <c r="P1" s="51"/>
      <c r="Q1" s="51"/>
      <c r="R1" s="51"/>
      <c r="S1" s="51"/>
      <c r="T1" s="51"/>
      <c r="U1" s="51"/>
      <c r="V1" s="51"/>
      <c r="W1" s="51"/>
      <c r="X1" s="51"/>
      <c r="Y1" s="51"/>
      <c r="Z1" s="51"/>
      <c r="AA1" s="26"/>
      <c r="AB1" s="26"/>
      <c r="AC1" s="26"/>
    </row>
    <row r="2" spans="1:29" ht="18" customHeight="1" x14ac:dyDescent="0.35">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row>
    <row r="3" spans="1:29" ht="18" customHeight="1" x14ac:dyDescent="0.35">
      <c r="A3" s="72" t="s">
        <v>1395</v>
      </c>
      <c r="B3" s="51"/>
      <c r="C3" s="51"/>
      <c r="D3" s="51"/>
      <c r="E3" s="72" t="s">
        <v>1389</v>
      </c>
      <c r="F3" s="51"/>
      <c r="G3" s="51"/>
      <c r="H3" s="51"/>
      <c r="I3" s="72" t="s">
        <v>1460</v>
      </c>
      <c r="J3" s="51"/>
      <c r="K3" s="51"/>
      <c r="L3" s="51"/>
      <c r="M3" s="72" t="s">
        <v>1461</v>
      </c>
      <c r="N3" s="51"/>
      <c r="O3" s="51"/>
      <c r="P3" s="51"/>
      <c r="Q3" s="72" t="s">
        <v>1462</v>
      </c>
      <c r="R3" s="51"/>
      <c r="S3" s="51"/>
      <c r="T3" s="51"/>
      <c r="U3" s="72" t="s">
        <v>1463</v>
      </c>
      <c r="V3" s="51"/>
      <c r="W3" s="51"/>
      <c r="X3" s="51"/>
      <c r="Y3" s="26"/>
      <c r="Z3" s="26"/>
      <c r="AA3" s="26"/>
      <c r="AB3" s="26"/>
      <c r="AC3" s="26"/>
    </row>
    <row r="4" spans="1:29" ht="18" customHeight="1" x14ac:dyDescent="0.35">
      <c r="A4" s="70" t="s">
        <v>1396</v>
      </c>
      <c r="B4" s="51"/>
      <c r="C4" s="51"/>
      <c r="D4" s="51"/>
      <c r="E4" s="73" t="s">
        <v>1390</v>
      </c>
      <c r="F4" s="51"/>
      <c r="G4" s="51"/>
      <c r="H4" s="51"/>
      <c r="I4" s="74" t="s">
        <v>1404</v>
      </c>
      <c r="J4" s="51"/>
      <c r="K4" s="51"/>
      <c r="L4" s="51"/>
      <c r="M4" s="70" t="s">
        <v>1464</v>
      </c>
      <c r="N4" s="51"/>
      <c r="O4" s="51"/>
      <c r="P4" s="51"/>
      <c r="Q4" s="75" t="s">
        <v>1380</v>
      </c>
      <c r="R4" s="51"/>
      <c r="S4" s="51"/>
      <c r="T4" s="51"/>
      <c r="U4" s="76" t="s">
        <v>1388</v>
      </c>
      <c r="V4" s="51"/>
      <c r="W4" s="51"/>
      <c r="X4" s="51"/>
      <c r="Y4" s="26"/>
      <c r="Z4" s="26"/>
      <c r="AA4" s="26"/>
      <c r="AB4" s="26"/>
      <c r="AC4" s="26"/>
    </row>
    <row r="5" spans="1:29" ht="18" customHeight="1" x14ac:dyDescent="0.35">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row>
    <row r="6" spans="1:29" ht="16" customHeight="1" x14ac:dyDescent="0.35">
      <c r="A6" s="77" t="s">
        <v>1465</v>
      </c>
      <c r="B6" s="51"/>
      <c r="C6" s="51"/>
      <c r="D6" s="51"/>
      <c r="E6" s="51"/>
      <c r="F6" s="51"/>
      <c r="G6" s="51"/>
      <c r="H6" s="51"/>
      <c r="I6" s="51"/>
      <c r="J6" s="26"/>
      <c r="K6" s="26"/>
      <c r="L6" s="69" t="s">
        <v>1466</v>
      </c>
      <c r="M6" s="51"/>
      <c r="N6" s="51"/>
      <c r="O6" s="51"/>
      <c r="P6" s="51"/>
      <c r="Q6" s="51"/>
      <c r="R6" s="51"/>
      <c r="S6" s="51"/>
      <c r="T6" s="51"/>
      <c r="U6" s="26"/>
      <c r="V6" s="26"/>
      <c r="W6" s="26"/>
      <c r="X6" s="26"/>
      <c r="Y6" s="26"/>
      <c r="Z6" s="26"/>
      <c r="AA6" s="26"/>
      <c r="AB6" s="26"/>
      <c r="AC6" s="26"/>
    </row>
    <row r="7" spans="1:29" ht="18" customHeight="1" x14ac:dyDescent="0.35">
      <c r="A7" s="38" t="s">
        <v>3</v>
      </c>
      <c r="B7" s="38" t="s">
        <v>1467</v>
      </c>
      <c r="C7" s="38" t="s">
        <v>1468</v>
      </c>
      <c r="D7" s="38" t="s">
        <v>1469</v>
      </c>
      <c r="E7" s="38" t="s">
        <v>1470</v>
      </c>
      <c r="F7" s="38" t="s">
        <v>1471</v>
      </c>
      <c r="G7" s="38" t="s">
        <v>1403</v>
      </c>
      <c r="H7" s="38" t="s">
        <v>1472</v>
      </c>
      <c r="I7" s="26"/>
      <c r="J7" s="26"/>
      <c r="K7" s="26"/>
      <c r="L7" s="39" t="s">
        <v>5</v>
      </c>
      <c r="M7" s="39" t="s">
        <v>33</v>
      </c>
      <c r="N7" s="39" t="s">
        <v>45</v>
      </c>
      <c r="O7" s="39" t="s">
        <v>25</v>
      </c>
      <c r="P7" s="26"/>
      <c r="Q7" s="26"/>
      <c r="R7" s="26"/>
      <c r="S7" s="26"/>
      <c r="T7" s="26"/>
      <c r="U7" s="26"/>
      <c r="V7" s="26"/>
      <c r="W7" s="26"/>
      <c r="X7" s="26"/>
      <c r="Y7" s="26"/>
      <c r="Z7" s="26"/>
      <c r="AA7" s="26"/>
      <c r="AB7" s="26"/>
      <c r="AC7" s="26"/>
    </row>
    <row r="8" spans="1:29" ht="18" customHeight="1" x14ac:dyDescent="0.35">
      <c r="A8" s="19" t="s">
        <v>178</v>
      </c>
      <c r="B8" s="23">
        <v>20</v>
      </c>
      <c r="C8" s="24">
        <v>6</v>
      </c>
      <c r="D8" s="22">
        <v>6</v>
      </c>
      <c r="E8" s="18">
        <v>32</v>
      </c>
      <c r="F8" s="18">
        <v>30.1</v>
      </c>
      <c r="G8" s="18">
        <v>1.3</v>
      </c>
      <c r="H8" s="18">
        <v>78</v>
      </c>
      <c r="I8" s="26"/>
      <c r="J8" s="26"/>
      <c r="K8" s="26"/>
      <c r="L8" s="20" t="s">
        <v>74</v>
      </c>
      <c r="M8" s="40">
        <v>17</v>
      </c>
      <c r="N8" s="41">
        <v>9</v>
      </c>
      <c r="O8" s="34">
        <v>11</v>
      </c>
      <c r="P8" s="26"/>
      <c r="Q8" s="26"/>
      <c r="R8" s="26"/>
      <c r="S8" s="26"/>
      <c r="T8" s="26"/>
      <c r="U8" s="26"/>
      <c r="V8" s="26"/>
      <c r="W8" s="26"/>
      <c r="X8" s="26"/>
      <c r="Y8" s="26"/>
      <c r="Z8" s="26"/>
      <c r="AA8" s="26"/>
      <c r="AB8" s="26"/>
      <c r="AC8" s="26"/>
    </row>
    <row r="9" spans="1:29" ht="18" customHeight="1" x14ac:dyDescent="0.35">
      <c r="A9" s="13" t="s">
        <v>170</v>
      </c>
      <c r="B9" s="16">
        <v>18</v>
      </c>
      <c r="C9" s="25">
        <v>12</v>
      </c>
      <c r="D9" s="17">
        <v>9</v>
      </c>
      <c r="E9" s="12">
        <v>39</v>
      </c>
      <c r="F9" s="12">
        <v>34.6</v>
      </c>
      <c r="G9" s="12">
        <v>1.24</v>
      </c>
      <c r="H9" s="12">
        <v>87</v>
      </c>
      <c r="I9" s="26"/>
      <c r="J9" s="26"/>
      <c r="K9" s="26"/>
      <c r="L9" s="14" t="s">
        <v>97</v>
      </c>
      <c r="M9" s="42">
        <v>33</v>
      </c>
      <c r="N9" s="43">
        <v>17</v>
      </c>
      <c r="O9" s="37">
        <v>14</v>
      </c>
      <c r="P9" s="26"/>
      <c r="Q9" s="26"/>
      <c r="R9" s="26"/>
      <c r="S9" s="26"/>
      <c r="T9" s="26"/>
      <c r="U9" s="26"/>
      <c r="V9" s="26"/>
      <c r="W9" s="26"/>
      <c r="X9" s="26"/>
      <c r="Y9" s="26"/>
      <c r="Z9" s="26"/>
      <c r="AA9" s="26"/>
      <c r="AB9" s="26"/>
      <c r="AC9" s="26"/>
    </row>
    <row r="10" spans="1:29" ht="18" customHeight="1" x14ac:dyDescent="0.35">
      <c r="A10" s="19" t="s">
        <v>36</v>
      </c>
      <c r="B10" s="23">
        <v>25</v>
      </c>
      <c r="C10" s="24">
        <v>11</v>
      </c>
      <c r="D10" s="22">
        <v>11</v>
      </c>
      <c r="E10" s="18">
        <v>47</v>
      </c>
      <c r="F10" s="18">
        <v>33.700000000000003</v>
      </c>
      <c r="G10" s="18">
        <v>1.18</v>
      </c>
      <c r="H10" s="18">
        <v>108</v>
      </c>
      <c r="I10" s="26"/>
      <c r="J10" s="26"/>
      <c r="K10" s="26"/>
      <c r="L10" s="20" t="s">
        <v>50</v>
      </c>
      <c r="M10" s="40">
        <v>48</v>
      </c>
      <c r="N10" s="41">
        <v>35</v>
      </c>
      <c r="O10" s="34">
        <v>30</v>
      </c>
      <c r="P10" s="26"/>
      <c r="Q10" s="26"/>
      <c r="R10" s="26"/>
      <c r="S10" s="26"/>
      <c r="T10" s="26"/>
      <c r="U10" s="26"/>
      <c r="V10" s="26"/>
      <c r="W10" s="26"/>
      <c r="X10" s="26"/>
      <c r="Y10" s="26"/>
      <c r="Z10" s="26"/>
      <c r="AA10" s="26"/>
      <c r="AB10" s="26"/>
      <c r="AC10" s="26"/>
    </row>
    <row r="11" spans="1:29" ht="18" customHeight="1" x14ac:dyDescent="0.35">
      <c r="A11" s="13" t="s">
        <v>115</v>
      </c>
      <c r="B11" s="16">
        <v>18</v>
      </c>
      <c r="C11" s="25">
        <v>13</v>
      </c>
      <c r="D11" s="17">
        <v>9</v>
      </c>
      <c r="E11" s="12">
        <v>40</v>
      </c>
      <c r="F11" s="12">
        <v>33.9</v>
      </c>
      <c r="G11" s="12">
        <v>1.24</v>
      </c>
      <c r="H11" s="12">
        <v>89</v>
      </c>
      <c r="I11" s="26"/>
      <c r="J11" s="26"/>
      <c r="K11" s="26"/>
      <c r="L11" s="14" t="s">
        <v>55</v>
      </c>
      <c r="M11" s="42">
        <v>65</v>
      </c>
      <c r="N11" s="43">
        <v>43</v>
      </c>
      <c r="O11" s="37">
        <v>40</v>
      </c>
      <c r="P11" s="26"/>
      <c r="Q11" s="26"/>
      <c r="R11" s="26"/>
      <c r="S11" s="26"/>
      <c r="T11" s="26"/>
      <c r="U11" s="26"/>
      <c r="V11" s="26"/>
      <c r="W11" s="26"/>
      <c r="X11" s="26"/>
      <c r="Y11" s="26"/>
      <c r="Z11" s="26"/>
      <c r="AA11" s="26"/>
      <c r="AB11" s="26"/>
      <c r="AC11" s="26"/>
    </row>
    <row r="12" spans="1:29" ht="18" customHeight="1" x14ac:dyDescent="0.35">
      <c r="A12" s="19" t="s">
        <v>28</v>
      </c>
      <c r="B12" s="23">
        <v>26</v>
      </c>
      <c r="C12" s="24">
        <v>9</v>
      </c>
      <c r="D12" s="22">
        <v>8</v>
      </c>
      <c r="E12" s="18">
        <v>43</v>
      </c>
      <c r="F12" s="18">
        <v>33.9</v>
      </c>
      <c r="G12" s="18">
        <v>1.19</v>
      </c>
      <c r="H12" s="18">
        <v>104</v>
      </c>
      <c r="I12" s="26"/>
      <c r="J12" s="26"/>
      <c r="K12" s="26"/>
      <c r="L12" s="20" t="s">
        <v>44</v>
      </c>
      <c r="M12" s="40">
        <v>69</v>
      </c>
      <c r="N12" s="41">
        <v>30</v>
      </c>
      <c r="O12" s="34">
        <v>30</v>
      </c>
      <c r="P12" s="26"/>
      <c r="Q12" s="26"/>
      <c r="R12" s="26"/>
      <c r="S12" s="26"/>
      <c r="T12" s="26"/>
      <c r="U12" s="26"/>
      <c r="V12" s="26"/>
      <c r="W12" s="26"/>
      <c r="X12" s="26"/>
      <c r="Y12" s="26"/>
      <c r="Z12" s="26"/>
      <c r="AA12" s="26"/>
      <c r="AB12" s="26"/>
      <c r="AC12" s="26"/>
    </row>
    <row r="13" spans="1:29" ht="18" customHeight="1" x14ac:dyDescent="0.35">
      <c r="A13" s="13" t="s">
        <v>215</v>
      </c>
      <c r="B13" s="16">
        <v>18</v>
      </c>
      <c r="C13" s="25">
        <v>14</v>
      </c>
      <c r="D13" s="17">
        <v>12</v>
      </c>
      <c r="E13" s="12">
        <v>44</v>
      </c>
      <c r="F13" s="12">
        <v>33.799999999999997</v>
      </c>
      <c r="G13" s="12">
        <v>1.24</v>
      </c>
      <c r="H13" s="12">
        <v>94</v>
      </c>
      <c r="I13" s="26"/>
      <c r="J13" s="26"/>
      <c r="K13" s="26"/>
      <c r="L13" s="14" t="s">
        <v>30</v>
      </c>
      <c r="M13" s="42">
        <v>51</v>
      </c>
      <c r="N13" s="43">
        <v>20</v>
      </c>
      <c r="O13" s="37">
        <v>19</v>
      </c>
      <c r="P13" s="26"/>
      <c r="Q13" s="26"/>
      <c r="R13" s="26"/>
      <c r="S13" s="26"/>
      <c r="T13" s="26"/>
      <c r="U13" s="26"/>
      <c r="V13" s="26"/>
      <c r="W13" s="26"/>
      <c r="X13" s="26"/>
      <c r="Y13" s="26"/>
      <c r="Z13" s="26"/>
      <c r="AA13" s="26"/>
      <c r="AB13" s="26"/>
      <c r="AC13" s="26"/>
    </row>
    <row r="14" spans="1:29" ht="18" customHeight="1" x14ac:dyDescent="0.35">
      <c r="A14" s="19" t="s">
        <v>60</v>
      </c>
      <c r="B14" s="23">
        <v>21</v>
      </c>
      <c r="C14" s="24">
        <v>9</v>
      </c>
      <c r="D14" s="22">
        <v>7</v>
      </c>
      <c r="E14" s="18">
        <v>37</v>
      </c>
      <c r="F14" s="18">
        <v>35.5</v>
      </c>
      <c r="G14" s="18">
        <v>1.18</v>
      </c>
      <c r="H14" s="18">
        <v>88</v>
      </c>
      <c r="I14" s="26"/>
      <c r="J14" s="26"/>
      <c r="K14" s="26"/>
      <c r="L14" s="20" t="s">
        <v>22</v>
      </c>
      <c r="M14" s="40">
        <v>107</v>
      </c>
      <c r="N14" s="41">
        <v>58</v>
      </c>
      <c r="O14" s="34">
        <v>54</v>
      </c>
      <c r="P14" s="26"/>
      <c r="Q14" s="26"/>
      <c r="R14" s="26"/>
      <c r="S14" s="26"/>
      <c r="T14" s="26"/>
      <c r="U14" s="26"/>
      <c r="V14" s="26"/>
      <c r="W14" s="26"/>
      <c r="X14" s="26"/>
      <c r="Y14" s="26"/>
      <c r="Z14" s="26"/>
      <c r="AA14" s="26"/>
      <c r="AB14" s="26"/>
      <c r="AC14" s="26"/>
    </row>
    <row r="15" spans="1:29" ht="18" customHeight="1" x14ac:dyDescent="0.35">
      <c r="A15" s="13" t="s">
        <v>83</v>
      </c>
      <c r="B15" s="16">
        <v>17</v>
      </c>
      <c r="C15" s="25">
        <v>9</v>
      </c>
      <c r="D15" s="17">
        <v>5</v>
      </c>
      <c r="E15" s="12">
        <v>31</v>
      </c>
      <c r="F15" s="12">
        <v>35.700000000000003</v>
      </c>
      <c r="G15" s="12">
        <v>1.28</v>
      </c>
      <c r="H15" s="12">
        <v>74</v>
      </c>
      <c r="I15" s="26"/>
      <c r="J15" s="26"/>
      <c r="K15" s="26"/>
      <c r="L15" s="26"/>
      <c r="M15" s="26"/>
      <c r="N15" s="26"/>
      <c r="O15" s="26"/>
      <c r="P15" s="26"/>
      <c r="Q15" s="26"/>
      <c r="R15" s="26"/>
      <c r="S15" s="26"/>
      <c r="T15" s="26"/>
      <c r="U15" s="26"/>
      <c r="V15" s="26"/>
      <c r="W15" s="26"/>
      <c r="X15" s="26"/>
      <c r="Y15" s="26"/>
      <c r="Z15" s="26"/>
      <c r="AA15" s="26"/>
      <c r="AB15" s="26"/>
      <c r="AC15" s="26"/>
    </row>
    <row r="16" spans="1:29" ht="18" customHeight="1" x14ac:dyDescent="0.35">
      <c r="A16" s="19" t="s">
        <v>77</v>
      </c>
      <c r="B16" s="23">
        <v>22</v>
      </c>
      <c r="C16" s="24">
        <v>7</v>
      </c>
      <c r="D16" s="22">
        <v>11</v>
      </c>
      <c r="E16" s="18">
        <v>40</v>
      </c>
      <c r="F16" s="18">
        <v>37.200000000000003</v>
      </c>
      <c r="G16" s="18">
        <v>1.19</v>
      </c>
      <c r="H16" s="18">
        <v>91</v>
      </c>
      <c r="I16" s="26"/>
      <c r="J16" s="26"/>
      <c r="K16" s="26"/>
      <c r="L16" s="26"/>
      <c r="M16" s="26"/>
      <c r="N16" s="26"/>
      <c r="O16" s="26"/>
      <c r="P16" s="26"/>
      <c r="Q16" s="26"/>
      <c r="R16" s="26"/>
      <c r="S16" s="26"/>
      <c r="T16" s="26"/>
      <c r="U16" s="26"/>
      <c r="V16" s="26"/>
      <c r="W16" s="26"/>
      <c r="X16" s="26"/>
      <c r="Y16" s="26"/>
      <c r="Z16" s="26"/>
      <c r="AA16" s="26"/>
      <c r="AB16" s="26"/>
      <c r="AC16" s="26"/>
    </row>
    <row r="17" spans="1:29" ht="18" customHeight="1" x14ac:dyDescent="0.35">
      <c r="A17" s="13" t="s">
        <v>150</v>
      </c>
      <c r="B17" s="16">
        <v>16</v>
      </c>
      <c r="C17" s="25">
        <v>10</v>
      </c>
      <c r="D17" s="17">
        <v>12</v>
      </c>
      <c r="E17" s="12">
        <v>38</v>
      </c>
      <c r="F17" s="12">
        <v>32.1</v>
      </c>
      <c r="G17" s="12">
        <v>1.17</v>
      </c>
      <c r="H17" s="12">
        <v>80</v>
      </c>
      <c r="I17" s="26"/>
      <c r="J17" s="26"/>
      <c r="K17" s="26"/>
      <c r="L17" s="26"/>
      <c r="M17" s="26"/>
      <c r="N17" s="26"/>
      <c r="O17" s="26"/>
      <c r="P17" s="26"/>
      <c r="Q17" s="26"/>
      <c r="R17" s="26"/>
      <c r="S17" s="26"/>
      <c r="T17" s="26"/>
      <c r="U17" s="26"/>
      <c r="V17" s="26"/>
      <c r="W17" s="26"/>
      <c r="X17" s="26"/>
      <c r="Y17" s="26"/>
      <c r="Z17" s="26"/>
      <c r="AA17" s="26"/>
      <c r="AB17" s="26"/>
      <c r="AC17" s="26"/>
    </row>
    <row r="18" spans="1:29" ht="18" customHeight="1" x14ac:dyDescent="0.35">
      <c r="A18" s="19" t="s">
        <v>42</v>
      </c>
      <c r="B18" s="23">
        <v>22</v>
      </c>
      <c r="C18" s="24">
        <v>11</v>
      </c>
      <c r="D18" s="22">
        <v>8</v>
      </c>
      <c r="E18" s="18">
        <v>41</v>
      </c>
      <c r="F18" s="18">
        <v>31.8</v>
      </c>
      <c r="G18" s="18">
        <v>1.26</v>
      </c>
      <c r="H18" s="18">
        <v>96</v>
      </c>
      <c r="I18" s="26"/>
      <c r="J18" s="26"/>
      <c r="K18" s="26"/>
      <c r="L18" s="26"/>
      <c r="M18" s="26"/>
      <c r="N18" s="26"/>
      <c r="O18" s="26"/>
      <c r="P18" s="26"/>
      <c r="Q18" s="26"/>
      <c r="R18" s="26"/>
      <c r="S18" s="26"/>
      <c r="T18" s="26"/>
      <c r="U18" s="26"/>
      <c r="V18" s="26"/>
      <c r="W18" s="26"/>
      <c r="X18" s="26"/>
      <c r="Y18" s="26"/>
      <c r="Z18" s="26"/>
      <c r="AA18" s="26"/>
      <c r="AB18" s="26"/>
      <c r="AC18" s="26"/>
    </row>
    <row r="19" spans="1:29" ht="18" customHeight="1" x14ac:dyDescent="0.35">
      <c r="A19" s="13" t="s">
        <v>87</v>
      </c>
      <c r="B19" s="16">
        <v>21</v>
      </c>
      <c r="C19" s="25">
        <v>12</v>
      </c>
      <c r="D19" s="17">
        <v>17</v>
      </c>
      <c r="E19" s="12">
        <v>50</v>
      </c>
      <c r="F19" s="12">
        <v>34.299999999999997</v>
      </c>
      <c r="G19" s="12">
        <v>1.1499999999999999</v>
      </c>
      <c r="H19" s="12">
        <v>104</v>
      </c>
      <c r="I19" s="26"/>
      <c r="J19" s="26"/>
      <c r="K19" s="26"/>
      <c r="L19" s="26"/>
      <c r="M19" s="26"/>
      <c r="N19" s="26"/>
      <c r="O19" s="26"/>
      <c r="P19" s="26"/>
      <c r="Q19" s="26"/>
      <c r="R19" s="26"/>
      <c r="S19" s="26"/>
      <c r="T19" s="26"/>
      <c r="U19" s="26"/>
      <c r="V19" s="26"/>
      <c r="W19" s="26"/>
      <c r="X19" s="26"/>
      <c r="Y19" s="26"/>
      <c r="Z19" s="26"/>
      <c r="AA19" s="26"/>
      <c r="AB19" s="26"/>
      <c r="AC19" s="26"/>
    </row>
    <row r="20" spans="1:29" ht="18" customHeight="1" x14ac:dyDescent="0.35">
      <c r="A20" s="19" t="s">
        <v>53</v>
      </c>
      <c r="B20" s="23">
        <v>14</v>
      </c>
      <c r="C20" s="24">
        <v>11</v>
      </c>
      <c r="D20" s="22">
        <v>14</v>
      </c>
      <c r="E20" s="18">
        <v>39</v>
      </c>
      <c r="F20" s="18">
        <v>35.6</v>
      </c>
      <c r="G20" s="18">
        <v>1.25</v>
      </c>
      <c r="H20" s="18">
        <v>78</v>
      </c>
      <c r="I20" s="26"/>
      <c r="J20" s="26"/>
      <c r="K20" s="26"/>
      <c r="L20" s="26"/>
      <c r="M20" s="26"/>
      <c r="N20" s="26"/>
      <c r="O20" s="26"/>
      <c r="P20" s="26"/>
      <c r="Q20" s="26"/>
      <c r="R20" s="26"/>
      <c r="S20" s="26"/>
      <c r="T20" s="26"/>
      <c r="U20" s="26"/>
      <c r="V20" s="26"/>
      <c r="W20" s="26"/>
      <c r="X20" s="26"/>
      <c r="Y20" s="26"/>
      <c r="Z20" s="26"/>
      <c r="AA20" s="26"/>
      <c r="AB20" s="26"/>
      <c r="AC20" s="26"/>
    </row>
    <row r="21" spans="1:29" ht="18" customHeight="1" x14ac:dyDescent="0.35">
      <c r="A21" s="13" t="s">
        <v>103</v>
      </c>
      <c r="B21" s="16">
        <v>26</v>
      </c>
      <c r="C21" s="25">
        <v>18</v>
      </c>
      <c r="D21" s="17">
        <v>12</v>
      </c>
      <c r="E21" s="12">
        <v>56</v>
      </c>
      <c r="F21" s="12">
        <v>34.1</v>
      </c>
      <c r="G21" s="12">
        <v>1.17</v>
      </c>
      <c r="H21" s="12">
        <v>126</v>
      </c>
      <c r="I21" s="26"/>
      <c r="J21" s="26"/>
      <c r="K21" s="26"/>
      <c r="L21" s="26"/>
      <c r="M21" s="26"/>
      <c r="N21" s="26"/>
      <c r="O21" s="26"/>
      <c r="P21" s="26"/>
      <c r="Q21" s="26"/>
      <c r="R21" s="26"/>
      <c r="S21" s="26"/>
      <c r="T21" s="26"/>
      <c r="U21" s="26"/>
      <c r="V21" s="26"/>
      <c r="W21" s="26"/>
      <c r="X21" s="26"/>
      <c r="Y21" s="26"/>
      <c r="Z21" s="26"/>
      <c r="AA21" s="26"/>
      <c r="AB21" s="26"/>
      <c r="AC21" s="26"/>
    </row>
    <row r="22" spans="1:29" ht="18" customHeight="1" x14ac:dyDescent="0.35">
      <c r="A22" s="19" t="s">
        <v>72</v>
      </c>
      <c r="B22" s="23">
        <v>17</v>
      </c>
      <c r="C22" s="24">
        <v>9</v>
      </c>
      <c r="D22" s="22">
        <v>11</v>
      </c>
      <c r="E22" s="18">
        <v>37</v>
      </c>
      <c r="F22" s="18">
        <v>32.5</v>
      </c>
      <c r="G22" s="18">
        <v>1.33</v>
      </c>
      <c r="H22" s="18">
        <v>80</v>
      </c>
      <c r="I22" s="26"/>
      <c r="J22" s="26"/>
      <c r="K22" s="26"/>
      <c r="L22" s="26"/>
      <c r="M22" s="26"/>
      <c r="N22" s="26"/>
      <c r="O22" s="26"/>
      <c r="P22" s="26"/>
      <c r="Q22" s="26"/>
      <c r="R22" s="26"/>
      <c r="S22" s="26"/>
      <c r="T22" s="26"/>
      <c r="U22" s="26"/>
      <c r="V22" s="26"/>
      <c r="W22" s="26"/>
      <c r="X22" s="26"/>
      <c r="Y22" s="26"/>
      <c r="Z22" s="26"/>
      <c r="AA22" s="26"/>
      <c r="AB22" s="26"/>
      <c r="AC22" s="26"/>
    </row>
    <row r="23" spans="1:29" ht="18" customHeight="1" x14ac:dyDescent="0.35">
      <c r="A23" s="13" t="s">
        <v>20</v>
      </c>
      <c r="B23" s="16">
        <v>19</v>
      </c>
      <c r="C23" s="25">
        <v>13</v>
      </c>
      <c r="D23" s="17">
        <v>12</v>
      </c>
      <c r="E23" s="12">
        <v>44</v>
      </c>
      <c r="F23" s="12">
        <v>35.9</v>
      </c>
      <c r="G23" s="12">
        <v>1.23</v>
      </c>
      <c r="H23" s="12">
        <v>95</v>
      </c>
      <c r="I23" s="26"/>
      <c r="J23" s="26"/>
      <c r="K23" s="26"/>
      <c r="L23" s="26"/>
      <c r="M23" s="26"/>
      <c r="N23" s="26"/>
      <c r="O23" s="26"/>
      <c r="P23" s="26"/>
      <c r="Q23" s="26"/>
      <c r="R23" s="26"/>
      <c r="S23" s="26"/>
      <c r="T23" s="26"/>
      <c r="U23" s="26"/>
      <c r="V23" s="26"/>
      <c r="W23" s="26"/>
      <c r="X23" s="26"/>
      <c r="Y23" s="26"/>
      <c r="Z23" s="26"/>
      <c r="AA23" s="26"/>
      <c r="AB23" s="26"/>
      <c r="AC23" s="26"/>
    </row>
    <row r="24" spans="1:29" ht="18" customHeight="1" x14ac:dyDescent="0.35">
      <c r="A24" s="19" t="s">
        <v>48</v>
      </c>
      <c r="B24" s="23">
        <v>14</v>
      </c>
      <c r="C24" s="24">
        <v>11</v>
      </c>
      <c r="D24" s="22">
        <v>12</v>
      </c>
      <c r="E24" s="18">
        <v>37</v>
      </c>
      <c r="F24" s="18">
        <v>32</v>
      </c>
      <c r="G24" s="18">
        <v>1.1499999999999999</v>
      </c>
      <c r="H24" s="18">
        <v>76</v>
      </c>
      <c r="I24" s="26"/>
      <c r="J24" s="26"/>
      <c r="K24" s="26"/>
      <c r="L24" s="26"/>
      <c r="M24" s="26"/>
      <c r="N24" s="26"/>
      <c r="O24" s="26"/>
      <c r="P24" s="26"/>
      <c r="Q24" s="26"/>
      <c r="R24" s="26"/>
      <c r="S24" s="26"/>
      <c r="T24" s="26"/>
      <c r="U24" s="26"/>
      <c r="V24" s="26"/>
      <c r="W24" s="26"/>
      <c r="X24" s="26"/>
      <c r="Y24" s="26"/>
      <c r="Z24" s="26"/>
      <c r="AA24" s="26"/>
      <c r="AB24" s="26"/>
      <c r="AC24" s="26"/>
    </row>
    <row r="25" spans="1:29" ht="18" customHeight="1" x14ac:dyDescent="0.35">
      <c r="A25" s="13" t="s">
        <v>119</v>
      </c>
      <c r="B25" s="16">
        <v>25</v>
      </c>
      <c r="C25" s="25">
        <v>12</v>
      </c>
      <c r="D25" s="17">
        <v>11</v>
      </c>
      <c r="E25" s="12">
        <v>48</v>
      </c>
      <c r="F25" s="12">
        <v>34.6</v>
      </c>
      <c r="G25" s="12">
        <v>1.25</v>
      </c>
      <c r="H25" s="12">
        <v>110</v>
      </c>
      <c r="I25" s="26"/>
      <c r="J25" s="26"/>
      <c r="K25" s="26"/>
      <c r="L25" s="26"/>
      <c r="M25" s="26"/>
      <c r="N25" s="26"/>
      <c r="O25" s="26"/>
      <c r="P25" s="26"/>
      <c r="Q25" s="26"/>
      <c r="R25" s="26"/>
      <c r="S25" s="26"/>
      <c r="T25" s="26"/>
      <c r="U25" s="26"/>
      <c r="V25" s="26"/>
      <c r="W25" s="26"/>
      <c r="X25" s="26"/>
      <c r="Y25" s="26"/>
      <c r="Z25" s="26"/>
      <c r="AA25" s="26"/>
      <c r="AB25" s="26"/>
      <c r="AC25" s="26"/>
    </row>
    <row r="26" spans="1:29" ht="18" customHeight="1" x14ac:dyDescent="0.35">
      <c r="A26" s="19" t="s">
        <v>95</v>
      </c>
      <c r="B26" s="23">
        <v>15</v>
      </c>
      <c r="C26" s="24">
        <v>5</v>
      </c>
      <c r="D26" s="22">
        <v>5</v>
      </c>
      <c r="E26" s="18">
        <v>25</v>
      </c>
      <c r="F26" s="18">
        <v>31.2</v>
      </c>
      <c r="G26" s="18">
        <v>1.28</v>
      </c>
      <c r="H26" s="18">
        <v>60</v>
      </c>
      <c r="I26" s="26"/>
      <c r="J26" s="26"/>
      <c r="K26" s="26"/>
      <c r="L26" s="26"/>
      <c r="M26" s="26"/>
      <c r="N26" s="26"/>
      <c r="O26" s="26"/>
      <c r="P26" s="26"/>
      <c r="Q26" s="26"/>
      <c r="R26" s="26"/>
      <c r="S26" s="26"/>
      <c r="T26" s="26"/>
      <c r="U26" s="26"/>
      <c r="V26" s="26"/>
      <c r="W26" s="26"/>
      <c r="X26" s="26"/>
      <c r="Y26" s="26"/>
      <c r="Z26" s="26"/>
      <c r="AA26" s="26"/>
      <c r="AB26" s="26"/>
      <c r="AC26" s="26"/>
    </row>
    <row r="27" spans="1:29" ht="18" customHeight="1" x14ac:dyDescent="0.35">
      <c r="A27" s="13" t="s">
        <v>137</v>
      </c>
      <c r="B27" s="16">
        <v>16</v>
      </c>
      <c r="C27" s="25">
        <v>10</v>
      </c>
      <c r="D27" s="17">
        <v>6</v>
      </c>
      <c r="E27" s="12">
        <v>32</v>
      </c>
      <c r="F27" s="12">
        <v>33.4</v>
      </c>
      <c r="G27" s="12">
        <v>1.08</v>
      </c>
      <c r="H27" s="12">
        <v>74</v>
      </c>
      <c r="I27" s="26"/>
      <c r="J27" s="26"/>
      <c r="K27" s="26"/>
      <c r="L27" s="26"/>
      <c r="M27" s="26"/>
      <c r="N27" s="26"/>
      <c r="O27" s="26"/>
      <c r="P27" s="26"/>
      <c r="Q27" s="26"/>
      <c r="R27" s="26"/>
      <c r="S27" s="26"/>
      <c r="T27" s="26"/>
      <c r="U27" s="26"/>
      <c r="V27" s="26"/>
      <c r="W27" s="26"/>
      <c r="X27" s="26"/>
      <c r="Y27" s="26"/>
      <c r="Z27" s="26"/>
      <c r="AA27" s="26"/>
      <c r="AB27" s="26"/>
      <c r="AC27" s="26"/>
    </row>
    <row r="28" spans="1:29" ht="18" customHeight="1" x14ac:dyDescent="0.35">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row>
    <row r="29" spans="1:29" ht="18" customHeight="1" x14ac:dyDescent="0.35">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row>
    <row r="30" spans="1:29" ht="18" customHeight="1" x14ac:dyDescent="0.35">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row>
    <row r="31" spans="1:29" ht="18" customHeight="1" x14ac:dyDescent="0.35">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row>
    <row r="32" spans="1:29" ht="18" customHeight="1" x14ac:dyDescent="0.35">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row>
    <row r="33" spans="1:29" ht="18" customHeight="1" x14ac:dyDescent="0.35">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row>
    <row r="34" spans="1:29" ht="18" customHeight="1" x14ac:dyDescent="0.35">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row>
    <row r="35" spans="1:29" ht="18" customHeight="1" x14ac:dyDescent="0.3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row>
    <row r="36" spans="1:29" ht="18" customHeight="1" x14ac:dyDescent="0.3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row>
    <row r="37" spans="1:29" ht="18" customHeight="1" x14ac:dyDescent="0.35">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row>
    <row r="38" spans="1:29" ht="18" customHeight="1" x14ac:dyDescent="0.35">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row>
    <row r="39" spans="1:29" ht="18" customHeight="1" x14ac:dyDescent="0.3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row>
    <row r="40" spans="1:29" ht="18" customHeight="1" x14ac:dyDescent="0.3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row>
    <row r="41" spans="1:29" ht="18" customHeight="1" x14ac:dyDescent="0.3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row>
    <row r="42" spans="1:29" ht="18" customHeight="1" x14ac:dyDescent="0.3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row>
    <row r="43" spans="1:29" ht="18" customHeight="1" x14ac:dyDescent="0.35">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row>
    <row r="44" spans="1:29" ht="18" customHeight="1" x14ac:dyDescent="0.3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row>
    <row r="45" spans="1:29" ht="18" customHeight="1" x14ac:dyDescent="0.3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row>
    <row r="46" spans="1:29" ht="18" customHeight="1" x14ac:dyDescent="0.3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row>
    <row r="47" spans="1:29" ht="18" customHeight="1" x14ac:dyDescent="0.3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row>
    <row r="48" spans="1:29" ht="18" customHeight="1" x14ac:dyDescent="0.3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row>
    <row r="49" spans="1:29" ht="18" customHeight="1" x14ac:dyDescent="0.3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row>
    <row r="50" spans="1:29" ht="18" customHeight="1" x14ac:dyDescent="0.3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row>
    <row r="51" spans="1:29" ht="18" customHeight="1" x14ac:dyDescent="0.3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row>
    <row r="52" spans="1:29" ht="18" customHeight="1" x14ac:dyDescent="0.3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row>
    <row r="53" spans="1:29" ht="18" customHeight="1" x14ac:dyDescent="0.3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row>
    <row r="54" spans="1:29" ht="18" customHeight="1" x14ac:dyDescent="0.3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row>
    <row r="55" spans="1:29" ht="18" customHeight="1" x14ac:dyDescent="0.3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row>
    <row r="56" spans="1:29" ht="18" customHeight="1" x14ac:dyDescent="0.3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row>
    <row r="57" spans="1:29" ht="18" customHeight="1" x14ac:dyDescent="0.3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row>
    <row r="58" spans="1:29" ht="18" customHeight="1" x14ac:dyDescent="0.3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row>
    <row r="59" spans="1:29" ht="18" customHeight="1" x14ac:dyDescent="0.3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row>
    <row r="60" spans="1:29" ht="18" customHeight="1" x14ac:dyDescent="0.35">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row>
    <row r="61" spans="1:29" ht="18" customHeight="1" x14ac:dyDescent="0.35">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row>
    <row r="62" spans="1:29" ht="18" customHeight="1" x14ac:dyDescent="0.35">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row>
    <row r="63" spans="1:29" ht="18" customHeight="1" x14ac:dyDescent="0.3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row>
    <row r="64" spans="1:29" ht="18" customHeight="1" x14ac:dyDescent="0.3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row>
    <row r="65" spans="1:29" ht="18" customHeight="1" x14ac:dyDescent="0.3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row>
    <row r="66" spans="1:29" ht="18" customHeight="1" x14ac:dyDescent="0.3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row>
    <row r="67" spans="1:29" ht="18" customHeight="1" x14ac:dyDescent="0.35">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row>
    <row r="68" spans="1:29" ht="18" customHeight="1" x14ac:dyDescent="0.35">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row>
    <row r="69" spans="1:29" ht="18" customHeight="1" x14ac:dyDescent="0.35">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row>
  </sheetData>
  <mergeCells count="15">
    <mergeCell ref="L6:T6"/>
    <mergeCell ref="M4:P4"/>
    <mergeCell ref="A1:Z1"/>
    <mergeCell ref="E3:H3"/>
    <mergeCell ref="I3:L3"/>
    <mergeCell ref="A4:D4"/>
    <mergeCell ref="M3:P3"/>
    <mergeCell ref="E4:H4"/>
    <mergeCell ref="A3:D3"/>
    <mergeCell ref="I4:L4"/>
    <mergeCell ref="Q4:T4"/>
    <mergeCell ref="Q3:T3"/>
    <mergeCell ref="U4:X4"/>
    <mergeCell ref="U3:X3"/>
    <mergeCell ref="A6:I6"/>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E93D8"/>
  </sheetPr>
  <dimension ref="A1:AA54"/>
  <sheetViews>
    <sheetView showGridLines="0" workbookViewId="0">
      <selection sqref="A1:Z1"/>
    </sheetView>
  </sheetViews>
  <sheetFormatPr defaultRowHeight="14.5" x14ac:dyDescent="0.35"/>
  <cols>
    <col min="1" max="3" width="14" customWidth="1"/>
    <col min="4" max="4" width="12" customWidth="1"/>
    <col min="5" max="5" width="10" customWidth="1"/>
    <col min="6" max="6" width="8" customWidth="1"/>
    <col min="7" max="7" width="12" customWidth="1"/>
    <col min="8" max="8" width="8" customWidth="1"/>
    <col min="9" max="9" width="7" customWidth="1"/>
    <col min="10" max="11" width="2" customWidth="1"/>
    <col min="12" max="16" width="8" customWidth="1"/>
  </cols>
  <sheetData>
    <row r="1" spans="1:27" ht="26" customHeight="1" x14ac:dyDescent="0.35">
      <c r="A1" s="78" t="s">
        <v>1473</v>
      </c>
      <c r="B1" s="51"/>
      <c r="C1" s="51"/>
      <c r="D1" s="51"/>
      <c r="E1" s="51"/>
      <c r="F1" s="51"/>
      <c r="G1" s="51"/>
      <c r="H1" s="51"/>
      <c r="I1" s="51"/>
      <c r="J1" s="51"/>
      <c r="K1" s="51"/>
      <c r="L1" s="51"/>
      <c r="M1" s="51"/>
      <c r="N1" s="51"/>
      <c r="O1" s="51"/>
      <c r="P1" s="51"/>
      <c r="Q1" s="51"/>
      <c r="R1" s="51"/>
      <c r="S1" s="51"/>
      <c r="T1" s="51"/>
      <c r="U1" s="51"/>
      <c r="V1" s="51"/>
      <c r="W1" s="51"/>
      <c r="X1" s="51"/>
      <c r="Y1" s="51"/>
      <c r="Z1" s="51"/>
      <c r="AA1" s="26"/>
    </row>
    <row r="2" spans="1:27" ht="18" customHeight="1" x14ac:dyDescent="0.35">
      <c r="A2" s="26"/>
      <c r="B2" s="26"/>
      <c r="C2" s="26"/>
      <c r="D2" s="26"/>
      <c r="E2" s="26"/>
      <c r="F2" s="26"/>
      <c r="G2" s="26"/>
      <c r="H2" s="26"/>
      <c r="I2" s="26"/>
      <c r="J2" s="26"/>
      <c r="K2" s="26"/>
      <c r="L2" s="26"/>
      <c r="M2" s="26"/>
      <c r="N2" s="26"/>
      <c r="O2" s="26"/>
      <c r="P2" s="26"/>
      <c r="Q2" s="26"/>
      <c r="R2" s="26"/>
      <c r="S2" s="26"/>
      <c r="T2" s="26"/>
      <c r="U2" s="26"/>
      <c r="V2" s="26"/>
      <c r="W2" s="26"/>
      <c r="X2" s="26"/>
      <c r="Y2" s="26"/>
      <c r="Z2" s="26"/>
      <c r="AA2" s="26"/>
    </row>
    <row r="3" spans="1:27" ht="16" customHeight="1" x14ac:dyDescent="0.35">
      <c r="A3" s="67" t="s">
        <v>1474</v>
      </c>
      <c r="B3" s="51"/>
      <c r="C3" s="51"/>
      <c r="D3" s="51"/>
      <c r="E3" s="51"/>
      <c r="F3" s="51"/>
      <c r="G3" s="51"/>
      <c r="H3" s="51"/>
      <c r="I3" s="51"/>
      <c r="J3" s="51"/>
      <c r="K3" s="51"/>
      <c r="L3" s="26"/>
      <c r="M3" s="26"/>
      <c r="N3" s="26"/>
      <c r="O3" s="26"/>
      <c r="P3" s="26"/>
      <c r="Q3" s="26"/>
      <c r="R3" s="26"/>
      <c r="S3" s="26"/>
      <c r="T3" s="26"/>
      <c r="U3" s="26"/>
      <c r="V3" s="26"/>
      <c r="W3" s="26"/>
      <c r="X3" s="26"/>
      <c r="Y3" s="26"/>
      <c r="Z3" s="26"/>
      <c r="AA3" s="26"/>
    </row>
    <row r="4" spans="1:27" ht="18" customHeight="1" x14ac:dyDescent="0.35">
      <c r="A4" s="44" t="s">
        <v>6</v>
      </c>
      <c r="B4" s="44" t="s">
        <v>11</v>
      </c>
      <c r="C4" s="44" t="s">
        <v>1426</v>
      </c>
      <c r="D4" s="44" t="s">
        <v>1475</v>
      </c>
      <c r="E4" s="44" t="s">
        <v>1476</v>
      </c>
      <c r="F4" s="44" t="s">
        <v>1477</v>
      </c>
      <c r="G4" s="44" t="s">
        <v>1458</v>
      </c>
      <c r="H4" s="44" t="s">
        <v>1429</v>
      </c>
      <c r="I4" s="44" t="s">
        <v>1456</v>
      </c>
      <c r="J4" s="26"/>
      <c r="K4" s="26"/>
      <c r="L4" s="26"/>
      <c r="M4" s="26"/>
      <c r="N4" s="26"/>
      <c r="O4" s="26"/>
      <c r="P4" s="26"/>
      <c r="Q4" s="26"/>
      <c r="R4" s="26"/>
      <c r="S4" s="26"/>
      <c r="T4" s="26"/>
      <c r="U4" s="26"/>
      <c r="V4" s="26"/>
      <c r="W4" s="26"/>
      <c r="X4" s="26"/>
      <c r="Y4" s="26"/>
      <c r="Z4" s="26"/>
      <c r="AA4" s="26"/>
    </row>
    <row r="5" spans="1:27" ht="18" customHeight="1" x14ac:dyDescent="0.35">
      <c r="A5" s="45" t="s">
        <v>31</v>
      </c>
      <c r="B5" s="12">
        <v>99930094</v>
      </c>
      <c r="C5" s="12">
        <v>120034448</v>
      </c>
      <c r="D5" s="17">
        <v>20104354</v>
      </c>
      <c r="E5" s="14">
        <v>72.7</v>
      </c>
      <c r="F5" s="12">
        <v>150</v>
      </c>
      <c r="G5" s="12">
        <v>134029</v>
      </c>
      <c r="H5" s="17">
        <v>20.12</v>
      </c>
      <c r="I5" s="25">
        <v>1</v>
      </c>
      <c r="J5" s="26"/>
      <c r="K5" s="26"/>
      <c r="L5" s="26"/>
      <c r="M5" s="26"/>
      <c r="N5" s="26"/>
      <c r="O5" s="26"/>
      <c r="P5" s="26"/>
      <c r="Q5" s="26"/>
      <c r="R5" s="26"/>
      <c r="S5" s="26"/>
      <c r="T5" s="26"/>
      <c r="U5" s="26"/>
      <c r="V5" s="26"/>
      <c r="W5" s="26"/>
      <c r="X5" s="26"/>
      <c r="Y5" s="26"/>
      <c r="Z5" s="26"/>
      <c r="AA5" s="26"/>
    </row>
    <row r="6" spans="1:27" ht="18" customHeight="1" x14ac:dyDescent="0.35">
      <c r="A6" s="46" t="s">
        <v>38</v>
      </c>
      <c r="B6" s="18">
        <v>123782761</v>
      </c>
      <c r="C6" s="18">
        <v>142908079</v>
      </c>
      <c r="D6" s="22">
        <v>19125318</v>
      </c>
      <c r="E6" s="20">
        <v>69.8</v>
      </c>
      <c r="F6" s="18">
        <v>172</v>
      </c>
      <c r="G6" s="18">
        <v>111194</v>
      </c>
      <c r="H6" s="22">
        <v>15.45</v>
      </c>
      <c r="I6" s="24">
        <v>2</v>
      </c>
      <c r="J6" s="26"/>
      <c r="K6" s="26"/>
      <c r="L6" s="26"/>
      <c r="M6" s="26"/>
      <c r="N6" s="26"/>
      <c r="O6" s="26"/>
      <c r="P6" s="26"/>
      <c r="Q6" s="26"/>
      <c r="R6" s="26"/>
      <c r="S6" s="26"/>
      <c r="T6" s="26"/>
      <c r="U6" s="26"/>
      <c r="V6" s="26"/>
      <c r="W6" s="26"/>
      <c r="X6" s="26"/>
      <c r="Y6" s="26"/>
      <c r="Z6" s="26"/>
      <c r="AA6" s="26"/>
    </row>
    <row r="7" spans="1:27" ht="18" customHeight="1" x14ac:dyDescent="0.35">
      <c r="A7" s="45" t="s">
        <v>98</v>
      </c>
      <c r="B7" s="12">
        <v>127383418</v>
      </c>
      <c r="C7" s="12">
        <v>140661439</v>
      </c>
      <c r="D7" s="17">
        <v>13278020</v>
      </c>
      <c r="E7" s="14">
        <v>65.7</v>
      </c>
      <c r="F7" s="12">
        <v>166</v>
      </c>
      <c r="G7" s="12">
        <v>79988</v>
      </c>
      <c r="H7" s="17">
        <v>10.42</v>
      </c>
      <c r="I7" s="25">
        <v>3</v>
      </c>
      <c r="J7" s="26"/>
      <c r="K7" s="26"/>
      <c r="L7" s="26"/>
      <c r="M7" s="26"/>
      <c r="N7" s="26"/>
      <c r="O7" s="26"/>
      <c r="P7" s="26"/>
      <c r="Q7" s="26"/>
      <c r="R7" s="26"/>
      <c r="S7" s="26"/>
      <c r="T7" s="26"/>
      <c r="U7" s="26"/>
      <c r="V7" s="26"/>
      <c r="W7" s="26"/>
      <c r="X7" s="26"/>
      <c r="Y7" s="26"/>
      <c r="Z7" s="26"/>
      <c r="AA7" s="26"/>
    </row>
    <row r="8" spans="1:27" ht="18" customHeight="1" x14ac:dyDescent="0.35">
      <c r="A8" s="46" t="s">
        <v>62</v>
      </c>
      <c r="B8" s="18">
        <v>105802294</v>
      </c>
      <c r="C8" s="18">
        <v>118511306</v>
      </c>
      <c r="D8" s="22">
        <v>12709012</v>
      </c>
      <c r="E8" s="20">
        <v>63.8</v>
      </c>
      <c r="F8" s="18">
        <v>163</v>
      </c>
      <c r="G8" s="18">
        <v>77969</v>
      </c>
      <c r="H8" s="22">
        <v>12.01</v>
      </c>
      <c r="I8" s="24">
        <v>4</v>
      </c>
      <c r="J8" s="26"/>
      <c r="K8" s="26"/>
      <c r="L8" s="26"/>
      <c r="M8" s="26"/>
      <c r="N8" s="26"/>
      <c r="O8" s="26"/>
      <c r="P8" s="26"/>
      <c r="Q8" s="26"/>
      <c r="R8" s="26"/>
      <c r="S8" s="26"/>
      <c r="T8" s="26"/>
      <c r="U8" s="26"/>
      <c r="V8" s="26"/>
      <c r="W8" s="26"/>
      <c r="X8" s="26"/>
      <c r="Y8" s="26"/>
      <c r="Z8" s="26"/>
      <c r="AA8" s="26"/>
    </row>
    <row r="9" spans="1:27" ht="18" customHeight="1" x14ac:dyDescent="0.35">
      <c r="A9" s="45" t="s">
        <v>23</v>
      </c>
      <c r="B9" s="12">
        <v>96768305</v>
      </c>
      <c r="C9" s="12">
        <v>107206419</v>
      </c>
      <c r="D9" s="17">
        <v>10438114</v>
      </c>
      <c r="E9" s="14">
        <v>65.099999999999994</v>
      </c>
      <c r="F9" s="12">
        <v>149</v>
      </c>
      <c r="G9" s="12">
        <v>70054</v>
      </c>
      <c r="H9" s="17">
        <v>10.79</v>
      </c>
      <c r="I9" s="25">
        <v>5</v>
      </c>
      <c r="J9" s="26"/>
      <c r="K9" s="26"/>
      <c r="L9" s="26"/>
      <c r="M9" s="26"/>
      <c r="N9" s="26"/>
      <c r="O9" s="26"/>
      <c r="P9" s="26"/>
      <c r="Q9" s="26"/>
      <c r="R9" s="26"/>
      <c r="S9" s="26"/>
      <c r="T9" s="26"/>
      <c r="U9" s="26"/>
      <c r="V9" s="26"/>
      <c r="W9" s="26"/>
      <c r="X9" s="26"/>
      <c r="Y9" s="26"/>
      <c r="Z9" s="26"/>
      <c r="AA9" s="26"/>
    </row>
    <row r="10" spans="1:27" ht="18" customHeight="1" x14ac:dyDescent="0.35">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row>
    <row r="11" spans="1:27" ht="18" customHeight="1" x14ac:dyDescent="0.35">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row>
    <row r="12" spans="1:27" ht="16" customHeight="1" x14ac:dyDescent="0.35">
      <c r="A12" s="63" t="s">
        <v>1478</v>
      </c>
      <c r="B12" s="51"/>
      <c r="C12" s="51"/>
      <c r="D12" s="51"/>
      <c r="E12" s="51"/>
      <c r="F12" s="51"/>
      <c r="G12" s="51"/>
      <c r="H12" s="51"/>
      <c r="I12" s="51"/>
      <c r="J12" s="51"/>
      <c r="K12" s="26"/>
      <c r="L12" s="26"/>
      <c r="M12" s="26"/>
      <c r="N12" s="26"/>
      <c r="O12" s="26"/>
      <c r="P12" s="26"/>
      <c r="Q12" s="26"/>
      <c r="R12" s="26"/>
      <c r="S12" s="26"/>
      <c r="T12" s="26"/>
      <c r="U12" s="26"/>
      <c r="V12" s="26"/>
      <c r="W12" s="26"/>
      <c r="X12" s="26"/>
      <c r="Y12" s="26"/>
      <c r="Z12" s="26"/>
      <c r="AA12" s="26"/>
    </row>
    <row r="13" spans="1:27" ht="18" customHeight="1" x14ac:dyDescent="0.35">
      <c r="A13" s="31" t="s">
        <v>6</v>
      </c>
      <c r="B13" s="31" t="s">
        <v>24</v>
      </c>
      <c r="C13" s="31" t="s">
        <v>32</v>
      </c>
      <c r="D13" s="31" t="s">
        <v>65</v>
      </c>
      <c r="E13" s="31" t="s">
        <v>39</v>
      </c>
      <c r="F13" s="31" t="s">
        <v>1479</v>
      </c>
      <c r="G13" s="26"/>
      <c r="H13" s="26"/>
      <c r="I13" s="26"/>
      <c r="J13" s="26"/>
      <c r="K13" s="26"/>
      <c r="L13" s="26"/>
      <c r="M13" s="26"/>
      <c r="N13" s="26"/>
      <c r="O13" s="26"/>
      <c r="P13" s="26"/>
      <c r="Q13" s="26"/>
      <c r="R13" s="26"/>
      <c r="S13" s="26"/>
      <c r="T13" s="26"/>
      <c r="U13" s="26"/>
      <c r="V13" s="26"/>
      <c r="W13" s="26"/>
      <c r="X13" s="26"/>
      <c r="Y13" s="26"/>
      <c r="Z13" s="26"/>
      <c r="AA13" s="26"/>
    </row>
    <row r="14" spans="1:27" ht="18" customHeight="1" x14ac:dyDescent="0.35">
      <c r="A14" s="46" t="s">
        <v>31</v>
      </c>
      <c r="B14" s="20">
        <v>4614020</v>
      </c>
      <c r="C14" s="20">
        <v>14571639</v>
      </c>
      <c r="D14" s="20">
        <v>4218835</v>
      </c>
      <c r="E14" s="40">
        <v>-3300140</v>
      </c>
      <c r="F14" s="22">
        <v>20104354</v>
      </c>
      <c r="G14" s="26"/>
      <c r="H14" s="26"/>
      <c r="I14" s="26"/>
      <c r="J14" s="26"/>
      <c r="K14" s="26"/>
      <c r="L14" s="26"/>
      <c r="M14" s="26"/>
      <c r="N14" s="26"/>
      <c r="O14" s="26"/>
      <c r="P14" s="26"/>
      <c r="Q14" s="26"/>
      <c r="R14" s="26"/>
      <c r="S14" s="26"/>
      <c r="T14" s="26"/>
      <c r="U14" s="26"/>
      <c r="V14" s="26"/>
      <c r="W14" s="26"/>
      <c r="X14" s="26"/>
      <c r="Y14" s="26"/>
      <c r="Z14" s="26"/>
      <c r="AA14" s="26"/>
    </row>
    <row r="15" spans="1:27" ht="18" customHeight="1" x14ac:dyDescent="0.35">
      <c r="A15" s="45" t="s">
        <v>62</v>
      </c>
      <c r="B15" s="14">
        <v>3614252</v>
      </c>
      <c r="C15" s="14">
        <v>11703137</v>
      </c>
      <c r="D15" s="14">
        <v>1378570</v>
      </c>
      <c r="E15" s="42">
        <v>-3986947</v>
      </c>
      <c r="F15" s="17">
        <v>12709012</v>
      </c>
      <c r="G15" s="26"/>
      <c r="H15" s="26"/>
      <c r="I15" s="26"/>
      <c r="J15" s="26"/>
      <c r="K15" s="26"/>
      <c r="L15" s="26"/>
      <c r="M15" s="26"/>
      <c r="N15" s="26"/>
      <c r="O15" s="26"/>
      <c r="P15" s="26"/>
      <c r="Q15" s="26"/>
      <c r="R15" s="26"/>
      <c r="S15" s="26"/>
      <c r="T15" s="26"/>
      <c r="U15" s="26"/>
      <c r="V15" s="26"/>
      <c r="W15" s="26"/>
      <c r="X15" s="26"/>
      <c r="Y15" s="26"/>
      <c r="Z15" s="26"/>
      <c r="AA15" s="26"/>
    </row>
    <row r="16" spans="1:27" ht="18" customHeight="1" x14ac:dyDescent="0.35">
      <c r="A16" s="46" t="s">
        <v>38</v>
      </c>
      <c r="B16" s="20">
        <v>5492632</v>
      </c>
      <c r="C16" s="20">
        <v>16138149</v>
      </c>
      <c r="D16" s="20">
        <v>3550489</v>
      </c>
      <c r="E16" s="40">
        <v>-6055953</v>
      </c>
      <c r="F16" s="22">
        <v>19125318</v>
      </c>
      <c r="G16" s="26"/>
      <c r="H16" s="26"/>
      <c r="I16" s="26"/>
      <c r="J16" s="26"/>
      <c r="K16" s="26"/>
      <c r="L16" s="26"/>
      <c r="M16" s="26"/>
      <c r="N16" s="26"/>
      <c r="O16" s="26"/>
      <c r="P16" s="26"/>
      <c r="Q16" s="26"/>
      <c r="R16" s="26"/>
      <c r="S16" s="26"/>
      <c r="T16" s="26"/>
      <c r="U16" s="26"/>
      <c r="V16" s="26"/>
      <c r="W16" s="26"/>
      <c r="X16" s="26"/>
      <c r="Y16" s="26"/>
      <c r="Z16" s="26"/>
      <c r="AA16" s="26"/>
    </row>
    <row r="17" spans="1:27" ht="18" customHeight="1" x14ac:dyDescent="0.35">
      <c r="A17" s="45" t="s">
        <v>23</v>
      </c>
      <c r="B17" s="14">
        <v>2941631</v>
      </c>
      <c r="C17" s="14">
        <v>8836220</v>
      </c>
      <c r="D17" s="14">
        <v>3136751</v>
      </c>
      <c r="E17" s="42">
        <v>-4476488</v>
      </c>
      <c r="F17" s="17">
        <v>10438114</v>
      </c>
      <c r="G17" s="26"/>
      <c r="H17" s="26"/>
      <c r="I17" s="26"/>
      <c r="J17" s="26"/>
      <c r="K17" s="26"/>
      <c r="L17" s="26"/>
      <c r="M17" s="26"/>
      <c r="N17" s="26"/>
      <c r="O17" s="26"/>
      <c r="P17" s="26"/>
      <c r="Q17" s="26"/>
      <c r="R17" s="26"/>
      <c r="S17" s="26"/>
      <c r="T17" s="26"/>
      <c r="U17" s="26"/>
      <c r="V17" s="26"/>
      <c r="W17" s="26"/>
      <c r="X17" s="26"/>
      <c r="Y17" s="26"/>
      <c r="Z17" s="26"/>
      <c r="AA17" s="26"/>
    </row>
    <row r="18" spans="1:27" ht="18" customHeight="1" x14ac:dyDescent="0.35">
      <c r="A18" s="46" t="s">
        <v>98</v>
      </c>
      <c r="B18" s="20">
        <v>1831824</v>
      </c>
      <c r="C18" s="20">
        <v>11997807</v>
      </c>
      <c r="D18" s="20">
        <v>3314183</v>
      </c>
      <c r="E18" s="40">
        <v>-3865793</v>
      </c>
      <c r="F18" s="22">
        <v>13278020</v>
      </c>
      <c r="G18" s="26"/>
      <c r="H18" s="26"/>
      <c r="I18" s="26"/>
      <c r="J18" s="26"/>
      <c r="K18" s="26"/>
      <c r="L18" s="26"/>
      <c r="M18" s="26"/>
      <c r="N18" s="26"/>
      <c r="O18" s="26"/>
      <c r="P18" s="26"/>
      <c r="Q18" s="26"/>
      <c r="R18" s="26"/>
      <c r="S18" s="26"/>
      <c r="T18" s="26"/>
      <c r="U18" s="26"/>
      <c r="V18" s="26"/>
      <c r="W18" s="26"/>
      <c r="X18" s="26"/>
      <c r="Y18" s="26"/>
      <c r="Z18" s="26"/>
      <c r="AA18" s="26"/>
    </row>
    <row r="19" spans="1:27" ht="18" customHeight="1" x14ac:dyDescent="0.35">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row>
    <row r="20" spans="1:27" ht="18" customHeight="1" x14ac:dyDescent="0.35">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row>
    <row r="21" spans="1:27" ht="18" customHeight="1" x14ac:dyDescent="0.35">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row>
    <row r="22" spans="1:27" ht="18" customHeight="1" x14ac:dyDescent="0.35">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row>
    <row r="23" spans="1:27" ht="18" customHeight="1" x14ac:dyDescent="0.35">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row>
    <row r="24" spans="1:27" ht="18" customHeight="1" x14ac:dyDescent="0.35">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row>
    <row r="25" spans="1:27" ht="18" customHeight="1" x14ac:dyDescent="0.3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row>
    <row r="26" spans="1:27" ht="18" customHeight="1" x14ac:dyDescent="0.35">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row>
    <row r="27" spans="1:27" ht="18" customHeight="1" x14ac:dyDescent="0.35">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row>
    <row r="28" spans="1:27" ht="18" customHeight="1" x14ac:dyDescent="0.35">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row>
    <row r="29" spans="1:27" ht="18" customHeight="1" x14ac:dyDescent="0.35">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row>
    <row r="30" spans="1:27" ht="18" customHeight="1" x14ac:dyDescent="0.35">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row>
    <row r="31" spans="1:27" ht="18" customHeight="1" x14ac:dyDescent="0.35">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row>
    <row r="32" spans="1:27" ht="18" customHeight="1" x14ac:dyDescent="0.35">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row>
    <row r="33" spans="1:27" ht="18" customHeight="1" x14ac:dyDescent="0.35">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row>
    <row r="34" spans="1:27" ht="18" customHeight="1" x14ac:dyDescent="0.35">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row>
    <row r="35" spans="1:27" ht="18" customHeight="1" x14ac:dyDescent="0.3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row>
    <row r="36" spans="1:27" ht="18" customHeight="1" x14ac:dyDescent="0.3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row>
    <row r="37" spans="1:27" ht="18" customHeight="1" x14ac:dyDescent="0.35">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row>
    <row r="38" spans="1:27" ht="18" customHeight="1" x14ac:dyDescent="0.35">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row>
    <row r="39" spans="1:27" ht="18" customHeight="1" x14ac:dyDescent="0.3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row>
    <row r="40" spans="1:27" ht="18" customHeight="1" x14ac:dyDescent="0.3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row>
    <row r="41" spans="1:27" ht="18" customHeight="1" x14ac:dyDescent="0.3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row>
    <row r="42" spans="1:27" ht="18" customHeight="1" x14ac:dyDescent="0.3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row>
    <row r="43" spans="1:27" ht="18" customHeight="1" x14ac:dyDescent="0.35">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row>
    <row r="44" spans="1:27" ht="18" customHeight="1" x14ac:dyDescent="0.3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row>
    <row r="45" spans="1:27" ht="18" customHeight="1" x14ac:dyDescent="0.3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row>
    <row r="46" spans="1:27" ht="18" customHeight="1" x14ac:dyDescent="0.3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row>
    <row r="47" spans="1:27" ht="18" customHeight="1" x14ac:dyDescent="0.3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row>
    <row r="48" spans="1:27" ht="18" customHeight="1" x14ac:dyDescent="0.3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row>
    <row r="49" spans="1:27" ht="18" customHeight="1" x14ac:dyDescent="0.3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row>
    <row r="50" spans="1:27" ht="18" customHeight="1" x14ac:dyDescent="0.3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row>
    <row r="51" spans="1:27" ht="18" customHeight="1" x14ac:dyDescent="0.3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row>
    <row r="52" spans="1:27" ht="18" customHeight="1" x14ac:dyDescent="0.3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row>
    <row r="53" spans="1:27" ht="18" customHeight="1" x14ac:dyDescent="0.3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row>
    <row r="54" spans="1:27" ht="18" customHeight="1" x14ac:dyDescent="0.3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row>
  </sheetData>
  <mergeCells count="3">
    <mergeCell ref="A1:Z1"/>
    <mergeCell ref="A12:J12"/>
    <mergeCell ref="A3:K3"/>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6C6DA"/>
  </sheetPr>
  <dimension ref="A1:AC64"/>
  <sheetViews>
    <sheetView showGridLines="0" workbookViewId="0">
      <selection sqref="A1:Z1"/>
    </sheetView>
  </sheetViews>
  <sheetFormatPr defaultRowHeight="14.5" x14ac:dyDescent="0.35"/>
  <cols>
    <col min="1" max="1" width="15" customWidth="1"/>
    <col min="2" max="3" width="14" customWidth="1"/>
    <col min="4" max="4" width="12" customWidth="1"/>
    <col min="5" max="5" width="8" customWidth="1"/>
    <col min="6" max="6" width="10" customWidth="1"/>
    <col min="7" max="7" width="9" customWidth="1"/>
    <col min="8" max="8" width="7" customWidth="1"/>
  </cols>
  <sheetData>
    <row r="1" spans="1:29" ht="26" customHeight="1" x14ac:dyDescent="0.35">
      <c r="A1" s="79" t="s">
        <v>1480</v>
      </c>
      <c r="B1" s="51"/>
      <c r="C1" s="51"/>
      <c r="D1" s="51"/>
      <c r="E1" s="51"/>
      <c r="F1" s="51"/>
      <c r="G1" s="51"/>
      <c r="H1" s="51"/>
      <c r="I1" s="51"/>
      <c r="J1" s="51"/>
      <c r="K1" s="51"/>
      <c r="L1" s="51"/>
      <c r="M1" s="51"/>
      <c r="N1" s="51"/>
      <c r="O1" s="51"/>
      <c r="P1" s="51"/>
      <c r="Q1" s="51"/>
      <c r="R1" s="51"/>
      <c r="S1" s="51"/>
      <c r="T1" s="51"/>
      <c r="U1" s="51"/>
      <c r="V1" s="51"/>
      <c r="W1" s="51"/>
      <c r="X1" s="51"/>
      <c r="Y1" s="51"/>
      <c r="Z1" s="51"/>
      <c r="AA1" s="26"/>
      <c r="AB1" s="26"/>
      <c r="AC1" s="26"/>
    </row>
    <row r="2" spans="1:29" ht="18" customHeight="1" x14ac:dyDescent="0.35">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row>
    <row r="3" spans="1:29" ht="16" customHeight="1" x14ac:dyDescent="0.35">
      <c r="A3" s="80" t="s">
        <v>1481</v>
      </c>
      <c r="B3" s="51"/>
      <c r="C3" s="51"/>
      <c r="D3" s="51"/>
      <c r="E3" s="51"/>
      <c r="F3" s="51"/>
      <c r="G3" s="51"/>
      <c r="H3" s="51"/>
      <c r="I3" s="51"/>
      <c r="J3" s="26"/>
      <c r="K3" s="26"/>
      <c r="L3" s="26"/>
      <c r="M3" s="26"/>
      <c r="N3" s="26"/>
      <c r="O3" s="26"/>
      <c r="P3" s="26"/>
      <c r="Q3" s="26"/>
      <c r="R3" s="26"/>
      <c r="S3" s="26"/>
      <c r="T3" s="26"/>
      <c r="U3" s="26"/>
      <c r="V3" s="26"/>
      <c r="W3" s="26"/>
      <c r="X3" s="26"/>
      <c r="Y3" s="26"/>
      <c r="Z3" s="26"/>
      <c r="AA3" s="26"/>
      <c r="AB3" s="26"/>
      <c r="AC3" s="26"/>
    </row>
    <row r="4" spans="1:29" ht="18" customHeight="1" x14ac:dyDescent="0.35">
      <c r="A4" s="47" t="s">
        <v>5</v>
      </c>
      <c r="B4" s="47" t="s">
        <v>11</v>
      </c>
      <c r="C4" s="47" t="s">
        <v>1426</v>
      </c>
      <c r="D4" s="47" t="s">
        <v>1475</v>
      </c>
      <c r="E4" s="47" t="s">
        <v>1429</v>
      </c>
      <c r="F4" s="47" t="s">
        <v>1476</v>
      </c>
      <c r="G4" s="47" t="s">
        <v>1457</v>
      </c>
      <c r="H4" s="47" t="s">
        <v>1456</v>
      </c>
      <c r="I4" s="26"/>
      <c r="J4" s="26"/>
      <c r="K4" s="26"/>
      <c r="L4" s="26"/>
      <c r="M4" s="26"/>
      <c r="N4" s="26"/>
      <c r="O4" s="26"/>
      <c r="P4" s="26"/>
      <c r="Q4" s="26"/>
      <c r="R4" s="26"/>
      <c r="S4" s="26"/>
      <c r="T4" s="26"/>
      <c r="U4" s="26"/>
      <c r="V4" s="26"/>
      <c r="W4" s="26"/>
      <c r="X4" s="26"/>
      <c r="Y4" s="26"/>
      <c r="Z4" s="26"/>
      <c r="AA4" s="26"/>
      <c r="AB4" s="26"/>
      <c r="AC4" s="26"/>
    </row>
    <row r="5" spans="1:29" ht="18" customHeight="1" x14ac:dyDescent="0.35">
      <c r="A5" s="48" t="s">
        <v>22</v>
      </c>
      <c r="B5" s="12">
        <v>192620633</v>
      </c>
      <c r="C5" s="12">
        <v>216484422</v>
      </c>
      <c r="D5" s="17">
        <v>23863789</v>
      </c>
      <c r="E5" s="17">
        <v>12.39</v>
      </c>
      <c r="F5" s="12">
        <v>66.2</v>
      </c>
      <c r="G5" s="12">
        <v>219</v>
      </c>
      <c r="H5" s="25">
        <v>1</v>
      </c>
      <c r="I5" s="26"/>
      <c r="J5" s="26"/>
      <c r="K5" s="26"/>
      <c r="L5" s="26"/>
      <c r="M5" s="26"/>
      <c r="N5" s="26"/>
      <c r="O5" s="26"/>
      <c r="P5" s="26"/>
      <c r="Q5" s="26"/>
      <c r="R5" s="26"/>
      <c r="S5" s="26"/>
      <c r="T5" s="26"/>
      <c r="U5" s="26"/>
      <c r="V5" s="26"/>
      <c r="W5" s="26"/>
      <c r="X5" s="26"/>
      <c r="Y5" s="26"/>
      <c r="Z5" s="26"/>
      <c r="AA5" s="26"/>
      <c r="AB5" s="26"/>
      <c r="AC5" s="26"/>
    </row>
    <row r="6" spans="1:29" ht="18" customHeight="1" x14ac:dyDescent="0.35">
      <c r="A6" s="49" t="s">
        <v>44</v>
      </c>
      <c r="B6" s="18">
        <v>80290834</v>
      </c>
      <c r="C6" s="18">
        <v>96282589</v>
      </c>
      <c r="D6" s="22">
        <v>15991754</v>
      </c>
      <c r="E6" s="22">
        <v>19.920000000000002</v>
      </c>
      <c r="F6" s="18">
        <v>70.5</v>
      </c>
      <c r="G6" s="18">
        <v>129</v>
      </c>
      <c r="H6" s="24">
        <v>2</v>
      </c>
      <c r="I6" s="26"/>
      <c r="J6" s="26"/>
      <c r="K6" s="26"/>
      <c r="L6" s="26"/>
      <c r="M6" s="26"/>
      <c r="N6" s="26"/>
      <c r="O6" s="26"/>
      <c r="P6" s="26"/>
      <c r="Q6" s="26"/>
      <c r="R6" s="26"/>
      <c r="S6" s="26"/>
      <c r="T6" s="26"/>
      <c r="U6" s="26"/>
      <c r="V6" s="26"/>
      <c r="W6" s="26"/>
      <c r="X6" s="26"/>
      <c r="Y6" s="26"/>
      <c r="Z6" s="26"/>
      <c r="AA6" s="26"/>
      <c r="AB6" s="26"/>
      <c r="AC6" s="26"/>
    </row>
    <row r="7" spans="1:29" ht="18" customHeight="1" x14ac:dyDescent="0.35">
      <c r="A7" s="48" t="s">
        <v>55</v>
      </c>
      <c r="B7" s="12">
        <v>117760007</v>
      </c>
      <c r="C7" s="12">
        <v>130496790</v>
      </c>
      <c r="D7" s="17">
        <v>12736783</v>
      </c>
      <c r="E7" s="17">
        <v>10.82</v>
      </c>
      <c r="F7" s="12">
        <v>65.5</v>
      </c>
      <c r="G7" s="12">
        <v>148</v>
      </c>
      <c r="H7" s="25">
        <v>3</v>
      </c>
      <c r="I7" s="26"/>
      <c r="J7" s="26"/>
      <c r="K7" s="26"/>
      <c r="L7" s="26"/>
      <c r="M7" s="26"/>
      <c r="N7" s="26"/>
      <c r="O7" s="26"/>
      <c r="P7" s="26"/>
      <c r="Q7" s="26"/>
      <c r="R7" s="26"/>
      <c r="S7" s="26"/>
      <c r="T7" s="26"/>
      <c r="U7" s="26"/>
      <c r="V7" s="26"/>
      <c r="W7" s="26"/>
      <c r="X7" s="26"/>
      <c r="Y7" s="26"/>
      <c r="Z7" s="26"/>
      <c r="AA7" s="26"/>
      <c r="AB7" s="26"/>
      <c r="AC7" s="26"/>
    </row>
    <row r="8" spans="1:29" ht="18" customHeight="1" x14ac:dyDescent="0.35">
      <c r="A8" s="49" t="s">
        <v>30</v>
      </c>
      <c r="B8" s="18">
        <v>57215035</v>
      </c>
      <c r="C8" s="18">
        <v>65665745</v>
      </c>
      <c r="D8" s="22">
        <v>8450710</v>
      </c>
      <c r="E8" s="22">
        <v>14.77</v>
      </c>
      <c r="F8" s="18">
        <v>68.900000000000006</v>
      </c>
      <c r="G8" s="18">
        <v>90</v>
      </c>
      <c r="H8" s="24">
        <v>4</v>
      </c>
      <c r="I8" s="26"/>
      <c r="J8" s="26"/>
      <c r="K8" s="26"/>
      <c r="L8" s="26"/>
      <c r="M8" s="26"/>
      <c r="N8" s="26"/>
      <c r="O8" s="26"/>
      <c r="P8" s="26"/>
      <c r="Q8" s="26"/>
      <c r="R8" s="26"/>
      <c r="S8" s="26"/>
      <c r="T8" s="26"/>
      <c r="U8" s="26"/>
      <c r="V8" s="26"/>
      <c r="W8" s="26"/>
      <c r="X8" s="26"/>
      <c r="Y8" s="26"/>
      <c r="Z8" s="26"/>
      <c r="AA8" s="26"/>
      <c r="AB8" s="26"/>
      <c r="AC8" s="26"/>
    </row>
    <row r="9" spans="1:29" ht="18" customHeight="1" x14ac:dyDescent="0.35">
      <c r="A9" s="48" t="s">
        <v>74</v>
      </c>
      <c r="B9" s="12">
        <v>42329037</v>
      </c>
      <c r="C9" s="12">
        <v>49438257</v>
      </c>
      <c r="D9" s="17">
        <v>7109220</v>
      </c>
      <c r="E9" s="17">
        <v>16.8</v>
      </c>
      <c r="F9" s="12">
        <v>70.3</v>
      </c>
      <c r="G9" s="12">
        <v>37</v>
      </c>
      <c r="H9" s="25">
        <v>5</v>
      </c>
      <c r="I9" s="26"/>
      <c r="J9" s="26"/>
      <c r="K9" s="26"/>
      <c r="L9" s="26"/>
      <c r="M9" s="26"/>
      <c r="N9" s="26"/>
      <c r="O9" s="26"/>
      <c r="P9" s="26"/>
      <c r="Q9" s="26"/>
      <c r="R9" s="26"/>
      <c r="S9" s="26"/>
      <c r="T9" s="26"/>
      <c r="U9" s="26"/>
      <c r="V9" s="26"/>
      <c r="W9" s="26"/>
      <c r="X9" s="26"/>
      <c r="Y9" s="26"/>
      <c r="Z9" s="26"/>
      <c r="AA9" s="26"/>
      <c r="AB9" s="26"/>
      <c r="AC9" s="26"/>
    </row>
    <row r="10" spans="1:29" ht="18" customHeight="1" x14ac:dyDescent="0.35">
      <c r="A10" s="49" t="s">
        <v>50</v>
      </c>
      <c r="B10" s="18">
        <v>34547615</v>
      </c>
      <c r="C10" s="18">
        <v>39092351</v>
      </c>
      <c r="D10" s="22">
        <v>4544736</v>
      </c>
      <c r="E10" s="22">
        <v>13.15</v>
      </c>
      <c r="F10" s="18">
        <v>67.3</v>
      </c>
      <c r="G10" s="18">
        <v>113</v>
      </c>
      <c r="H10" s="24">
        <v>6</v>
      </c>
      <c r="I10" s="26"/>
      <c r="J10" s="26"/>
      <c r="K10" s="26"/>
      <c r="L10" s="26"/>
      <c r="M10" s="26"/>
      <c r="N10" s="26"/>
      <c r="O10" s="26"/>
      <c r="P10" s="26"/>
      <c r="Q10" s="26"/>
      <c r="R10" s="26"/>
      <c r="S10" s="26"/>
      <c r="T10" s="26"/>
      <c r="U10" s="26"/>
      <c r="V10" s="26"/>
      <c r="W10" s="26"/>
      <c r="X10" s="26"/>
      <c r="Y10" s="26"/>
      <c r="Z10" s="26"/>
      <c r="AA10" s="26"/>
      <c r="AB10" s="26"/>
      <c r="AC10" s="26"/>
    </row>
    <row r="11" spans="1:29" ht="18" customHeight="1" x14ac:dyDescent="0.35">
      <c r="A11" s="48" t="s">
        <v>97</v>
      </c>
      <c r="B11" s="12">
        <v>28903710</v>
      </c>
      <c r="C11" s="12">
        <v>31861537</v>
      </c>
      <c r="D11" s="17">
        <v>2957826</v>
      </c>
      <c r="E11" s="17">
        <v>10.23</v>
      </c>
      <c r="F11" s="12">
        <v>65.599999999999994</v>
      </c>
      <c r="G11" s="12">
        <v>64</v>
      </c>
      <c r="H11" s="25">
        <v>7</v>
      </c>
      <c r="I11" s="26"/>
      <c r="J11" s="26"/>
      <c r="K11" s="26"/>
      <c r="L11" s="26"/>
      <c r="M11" s="26"/>
      <c r="N11" s="26"/>
      <c r="O11" s="26"/>
      <c r="P11" s="26"/>
      <c r="Q11" s="26"/>
      <c r="R11" s="26"/>
      <c r="S11" s="26"/>
      <c r="T11" s="26"/>
      <c r="U11" s="26"/>
      <c r="V11" s="26"/>
      <c r="W11" s="26"/>
      <c r="X11" s="26"/>
      <c r="Y11" s="26"/>
      <c r="Z11" s="26"/>
      <c r="AA11" s="26"/>
      <c r="AB11" s="26"/>
      <c r="AC11" s="26"/>
    </row>
    <row r="12" spans="1:29" ht="18" customHeight="1" x14ac:dyDescent="0.35">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row>
    <row r="13" spans="1:29" ht="18" customHeight="1" x14ac:dyDescent="0.35">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row>
    <row r="14" spans="1:29" ht="18" customHeight="1" x14ac:dyDescent="0.35">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row>
    <row r="15" spans="1:29" ht="18" customHeight="1" x14ac:dyDescent="0.3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row>
    <row r="16" spans="1:29" ht="18" customHeight="1" x14ac:dyDescent="0.35">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row>
    <row r="17" spans="1:29" ht="18" customHeight="1" x14ac:dyDescent="0.35">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row>
    <row r="18" spans="1:29" ht="18" customHeight="1" x14ac:dyDescent="0.35">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row>
    <row r="19" spans="1:29" ht="18" customHeight="1" x14ac:dyDescent="0.35">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row>
    <row r="20" spans="1:29" ht="18" customHeight="1" x14ac:dyDescent="0.35">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row>
    <row r="21" spans="1:29" ht="18" customHeight="1" x14ac:dyDescent="0.35">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row>
    <row r="22" spans="1:29" ht="18" customHeight="1" x14ac:dyDescent="0.35">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row>
    <row r="23" spans="1:29" ht="18" customHeight="1" x14ac:dyDescent="0.35">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row>
    <row r="24" spans="1:29" ht="18" customHeight="1" x14ac:dyDescent="0.35">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row>
    <row r="25" spans="1:29" ht="18" customHeight="1" x14ac:dyDescent="0.3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row>
    <row r="26" spans="1:29" ht="18" customHeight="1" x14ac:dyDescent="0.35">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row>
    <row r="27" spans="1:29" ht="18" customHeight="1" x14ac:dyDescent="0.35">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row>
    <row r="28" spans="1:29" ht="18" customHeight="1" x14ac:dyDescent="0.35">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row>
    <row r="29" spans="1:29" ht="18" customHeight="1" x14ac:dyDescent="0.35">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row>
    <row r="30" spans="1:29" ht="18" customHeight="1" x14ac:dyDescent="0.35">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row>
    <row r="31" spans="1:29" ht="18" customHeight="1" x14ac:dyDescent="0.35">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row>
    <row r="32" spans="1:29" ht="18" customHeight="1" x14ac:dyDescent="0.35">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row>
    <row r="33" spans="1:29" ht="18" customHeight="1" x14ac:dyDescent="0.35">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row>
    <row r="34" spans="1:29" ht="18" customHeight="1" x14ac:dyDescent="0.35">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row>
    <row r="35" spans="1:29" ht="18" customHeight="1" x14ac:dyDescent="0.3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row>
    <row r="36" spans="1:29" ht="18" customHeight="1" x14ac:dyDescent="0.3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row>
    <row r="37" spans="1:29" ht="18" customHeight="1" x14ac:dyDescent="0.35">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row>
    <row r="38" spans="1:29" ht="18" customHeight="1" x14ac:dyDescent="0.35">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row>
    <row r="39" spans="1:29" ht="18" customHeight="1" x14ac:dyDescent="0.3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row>
    <row r="40" spans="1:29" ht="18" customHeight="1" x14ac:dyDescent="0.3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row>
    <row r="41" spans="1:29" ht="18" customHeight="1" x14ac:dyDescent="0.3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row>
    <row r="42" spans="1:29" ht="18" customHeight="1" x14ac:dyDescent="0.3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row>
    <row r="43" spans="1:29" ht="18" customHeight="1" x14ac:dyDescent="0.35">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row>
    <row r="44" spans="1:29" ht="18" customHeight="1" x14ac:dyDescent="0.3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row>
    <row r="45" spans="1:29" ht="18" customHeight="1" x14ac:dyDescent="0.3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row>
    <row r="46" spans="1:29" ht="18" customHeight="1" x14ac:dyDescent="0.3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row>
    <row r="47" spans="1:29" ht="18" customHeight="1" x14ac:dyDescent="0.3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row>
    <row r="48" spans="1:29" ht="18" customHeight="1" x14ac:dyDescent="0.3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row>
    <row r="49" spans="1:29" ht="18" customHeight="1" x14ac:dyDescent="0.3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row>
    <row r="50" spans="1:29" ht="18" customHeight="1" x14ac:dyDescent="0.3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row>
    <row r="51" spans="1:29" ht="18" customHeight="1" x14ac:dyDescent="0.3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row>
    <row r="52" spans="1:29" ht="18" customHeight="1" x14ac:dyDescent="0.3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row>
    <row r="53" spans="1:29" ht="18" customHeight="1" x14ac:dyDescent="0.3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row>
    <row r="54" spans="1:29" ht="18" customHeight="1" x14ac:dyDescent="0.3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row>
    <row r="55" spans="1:29" ht="18" customHeight="1" x14ac:dyDescent="0.3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row>
    <row r="56" spans="1:29" ht="18" customHeight="1" x14ac:dyDescent="0.3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row>
    <row r="57" spans="1:29" ht="18" customHeight="1" x14ac:dyDescent="0.3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row>
    <row r="58" spans="1:29" ht="18" customHeight="1" x14ac:dyDescent="0.3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row>
    <row r="59" spans="1:29" ht="18" customHeight="1" x14ac:dyDescent="0.3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row>
    <row r="60" spans="1:29" ht="18" customHeight="1" x14ac:dyDescent="0.35">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row>
    <row r="61" spans="1:29" ht="18" customHeight="1" x14ac:dyDescent="0.35">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row>
    <row r="62" spans="1:29" ht="18" customHeight="1" x14ac:dyDescent="0.35">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row>
    <row r="63" spans="1:29" ht="18" customHeight="1" x14ac:dyDescent="0.3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row>
    <row r="64" spans="1:29" ht="18" customHeight="1" x14ac:dyDescent="0.3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row>
  </sheetData>
  <mergeCells count="2">
    <mergeCell ref="A1:Z1"/>
    <mergeCell ref="A3:I3"/>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B300"/>
  </sheetPr>
  <dimension ref="A1:U54"/>
  <sheetViews>
    <sheetView showGridLines="0" workbookViewId="0">
      <selection sqref="A1:U3"/>
    </sheetView>
  </sheetViews>
  <sheetFormatPr defaultRowHeight="14.5" x14ac:dyDescent="0.35"/>
  <cols>
    <col min="1" max="21" width="10" customWidth="1"/>
  </cols>
  <sheetData>
    <row r="1" spans="1:21" ht="50" customHeight="1" x14ac:dyDescent="0.35">
      <c r="A1" s="95" t="s">
        <v>1482</v>
      </c>
      <c r="B1" s="51"/>
      <c r="C1" s="51"/>
      <c r="D1" s="51"/>
      <c r="E1" s="51"/>
      <c r="F1" s="51"/>
      <c r="G1" s="51"/>
      <c r="H1" s="51"/>
      <c r="I1" s="51"/>
      <c r="J1" s="51"/>
      <c r="K1" s="51"/>
      <c r="L1" s="51"/>
      <c r="M1" s="51"/>
      <c r="N1" s="51"/>
      <c r="O1" s="51"/>
      <c r="P1" s="51"/>
      <c r="Q1" s="51"/>
      <c r="R1" s="51"/>
      <c r="S1" s="51"/>
      <c r="T1" s="51"/>
      <c r="U1" s="51"/>
    </row>
    <row r="2" spans="1:21" ht="20" customHeight="1" x14ac:dyDescent="0.35">
      <c r="A2" s="51"/>
      <c r="B2" s="51"/>
      <c r="C2" s="51"/>
      <c r="D2" s="51"/>
      <c r="E2" s="51"/>
      <c r="F2" s="51"/>
      <c r="G2" s="51"/>
      <c r="H2" s="51"/>
      <c r="I2" s="51"/>
      <c r="J2" s="51"/>
      <c r="K2" s="51"/>
      <c r="L2" s="51"/>
      <c r="M2" s="51"/>
      <c r="N2" s="51"/>
      <c r="O2" s="51"/>
      <c r="P2" s="51"/>
      <c r="Q2" s="51"/>
      <c r="R2" s="51"/>
      <c r="S2" s="51"/>
      <c r="T2" s="51"/>
      <c r="U2" s="51"/>
    </row>
    <row r="3" spans="1:21" ht="20" customHeight="1" x14ac:dyDescent="0.35">
      <c r="A3" s="51"/>
      <c r="B3" s="51"/>
      <c r="C3" s="51"/>
      <c r="D3" s="51"/>
      <c r="E3" s="51"/>
      <c r="F3" s="51"/>
      <c r="G3" s="51"/>
      <c r="H3" s="51"/>
      <c r="I3" s="51"/>
      <c r="J3" s="51"/>
      <c r="K3" s="51"/>
      <c r="L3" s="51"/>
      <c r="M3" s="51"/>
      <c r="N3" s="51"/>
      <c r="O3" s="51"/>
      <c r="P3" s="51"/>
      <c r="Q3" s="51"/>
      <c r="R3" s="51"/>
      <c r="S3" s="51"/>
      <c r="T3" s="51"/>
      <c r="U3" s="51"/>
    </row>
    <row r="4" spans="1:21" ht="16" customHeight="1" x14ac:dyDescent="0.35">
      <c r="A4" s="91" t="s">
        <v>1483</v>
      </c>
      <c r="B4" s="51"/>
      <c r="C4" s="51"/>
      <c r="D4" s="51"/>
      <c r="E4" s="51"/>
      <c r="F4" s="51"/>
      <c r="G4" s="51"/>
      <c r="H4" s="51"/>
      <c r="I4" s="51"/>
      <c r="J4" s="51"/>
      <c r="K4" s="51"/>
      <c r="L4" s="51"/>
      <c r="M4" s="51"/>
      <c r="N4" s="51"/>
      <c r="O4" s="51"/>
      <c r="P4" s="51"/>
      <c r="Q4" s="51"/>
      <c r="R4" s="51"/>
      <c r="S4" s="51"/>
      <c r="T4" s="51"/>
      <c r="U4" s="51"/>
    </row>
    <row r="5" spans="1:21" ht="20" customHeight="1" x14ac:dyDescent="0.35">
      <c r="A5" s="26"/>
      <c r="B5" s="26"/>
      <c r="C5" s="26"/>
      <c r="D5" s="26"/>
      <c r="E5" s="26"/>
      <c r="F5" s="26"/>
      <c r="G5" s="26"/>
      <c r="H5" s="26"/>
      <c r="I5" s="26"/>
      <c r="J5" s="26"/>
      <c r="K5" s="26"/>
      <c r="L5" s="26"/>
      <c r="M5" s="26"/>
      <c r="N5" s="26"/>
      <c r="O5" s="26"/>
      <c r="P5" s="26"/>
      <c r="Q5" s="26"/>
      <c r="R5" s="26"/>
      <c r="S5" s="26"/>
      <c r="T5" s="26"/>
      <c r="U5" s="26"/>
    </row>
    <row r="6" spans="1:21" ht="22" customHeight="1" x14ac:dyDescent="0.35">
      <c r="A6" s="96" t="s">
        <v>1484</v>
      </c>
      <c r="B6" s="51"/>
      <c r="C6" s="51"/>
      <c r="D6" s="51"/>
      <c r="E6" s="51"/>
      <c r="F6" s="51"/>
      <c r="G6" s="51"/>
      <c r="H6" s="51"/>
      <c r="I6" s="51"/>
      <c r="J6" s="51"/>
      <c r="K6" s="51"/>
      <c r="L6" s="51"/>
      <c r="M6" s="51"/>
      <c r="N6" s="51"/>
      <c r="O6" s="51"/>
      <c r="P6" s="51"/>
      <c r="Q6" s="51"/>
      <c r="R6" s="51"/>
      <c r="S6" s="51"/>
      <c r="T6" s="51"/>
      <c r="U6" s="51"/>
    </row>
    <row r="7" spans="1:21" ht="22" customHeight="1" x14ac:dyDescent="0.35">
      <c r="A7" s="86" t="s">
        <v>1485</v>
      </c>
      <c r="B7" s="51"/>
      <c r="C7" s="51"/>
      <c r="D7" s="51"/>
      <c r="E7" s="51"/>
      <c r="F7" s="51"/>
      <c r="G7" s="51"/>
      <c r="H7" s="51"/>
      <c r="I7" s="51"/>
      <c r="J7" s="51"/>
      <c r="K7" s="51"/>
      <c r="L7" s="81" t="s">
        <v>1486</v>
      </c>
      <c r="M7" s="51"/>
      <c r="N7" s="51"/>
      <c r="O7" s="51"/>
      <c r="P7" s="51"/>
      <c r="Q7" s="51"/>
      <c r="R7" s="51"/>
      <c r="S7" s="51"/>
      <c r="T7" s="51"/>
      <c r="U7" s="51"/>
    </row>
    <row r="8" spans="1:21" ht="22" customHeight="1" x14ac:dyDescent="0.35">
      <c r="A8" s="82" t="s">
        <v>1487</v>
      </c>
      <c r="B8" s="51"/>
      <c r="C8" s="51"/>
      <c r="D8" s="51"/>
      <c r="E8" s="51"/>
      <c r="F8" s="51"/>
      <c r="G8" s="51"/>
      <c r="H8" s="51"/>
      <c r="I8" s="51"/>
      <c r="J8" s="51"/>
      <c r="K8" s="51"/>
      <c r="L8" s="81" t="s">
        <v>1488</v>
      </c>
      <c r="M8" s="51"/>
      <c r="N8" s="51"/>
      <c r="O8" s="51"/>
      <c r="P8" s="51"/>
      <c r="Q8" s="51"/>
      <c r="R8" s="51"/>
      <c r="S8" s="51"/>
      <c r="T8" s="51"/>
      <c r="U8" s="51"/>
    </row>
    <row r="9" spans="1:21" ht="22" customHeight="1" x14ac:dyDescent="0.35">
      <c r="A9" s="82" t="s">
        <v>1489</v>
      </c>
      <c r="B9" s="51"/>
      <c r="C9" s="51"/>
      <c r="D9" s="51"/>
      <c r="E9" s="51"/>
      <c r="F9" s="51"/>
      <c r="G9" s="51"/>
      <c r="H9" s="51"/>
      <c r="I9" s="51"/>
      <c r="J9" s="51"/>
      <c r="K9" s="51"/>
      <c r="L9" s="81" t="s">
        <v>1490</v>
      </c>
      <c r="M9" s="51"/>
      <c r="N9" s="51"/>
      <c r="O9" s="51"/>
      <c r="P9" s="51"/>
      <c r="Q9" s="51"/>
      <c r="R9" s="51"/>
      <c r="S9" s="51"/>
      <c r="T9" s="51"/>
      <c r="U9" s="51"/>
    </row>
    <row r="10" spans="1:21" ht="22" customHeight="1" x14ac:dyDescent="0.35">
      <c r="A10" s="82" t="s">
        <v>1491</v>
      </c>
      <c r="B10" s="51"/>
      <c r="C10" s="51"/>
      <c r="D10" s="51"/>
      <c r="E10" s="51"/>
      <c r="F10" s="51"/>
      <c r="G10" s="51"/>
      <c r="H10" s="51"/>
      <c r="I10" s="51"/>
      <c r="J10" s="51"/>
      <c r="K10" s="51"/>
      <c r="L10" s="81" t="s">
        <v>1492</v>
      </c>
      <c r="M10" s="51"/>
      <c r="N10" s="51"/>
      <c r="O10" s="51"/>
      <c r="P10" s="51"/>
      <c r="Q10" s="51"/>
      <c r="R10" s="51"/>
      <c r="S10" s="51"/>
      <c r="T10" s="51"/>
      <c r="U10" s="51"/>
    </row>
    <row r="11" spans="1:21" ht="22" customHeight="1" x14ac:dyDescent="0.35">
      <c r="A11" s="82" t="s">
        <v>1493</v>
      </c>
      <c r="B11" s="51"/>
      <c r="C11" s="51"/>
      <c r="D11" s="51"/>
      <c r="E11" s="51"/>
      <c r="F11" s="51"/>
      <c r="G11" s="51"/>
      <c r="H11" s="51"/>
      <c r="I11" s="51"/>
      <c r="J11" s="51"/>
      <c r="K11" s="51"/>
      <c r="L11" s="81" t="s">
        <v>1406</v>
      </c>
      <c r="M11" s="51"/>
      <c r="N11" s="51"/>
      <c r="O11" s="51"/>
      <c r="P11" s="51"/>
      <c r="Q11" s="51"/>
      <c r="R11" s="51"/>
      <c r="S11" s="51"/>
      <c r="T11" s="51"/>
      <c r="U11" s="51"/>
    </row>
    <row r="12" spans="1:21" ht="22" customHeight="1" x14ac:dyDescent="0.35">
      <c r="A12" s="82" t="s">
        <v>1494</v>
      </c>
      <c r="B12" s="51"/>
      <c r="C12" s="51"/>
      <c r="D12" s="51"/>
      <c r="E12" s="51"/>
      <c r="F12" s="51"/>
      <c r="G12" s="51"/>
      <c r="H12" s="51"/>
      <c r="I12" s="51"/>
      <c r="J12" s="51"/>
      <c r="K12" s="51"/>
      <c r="L12" s="85" t="s">
        <v>1384</v>
      </c>
      <c r="M12" s="51"/>
      <c r="N12" s="51"/>
      <c r="O12" s="51"/>
      <c r="P12" s="51"/>
      <c r="Q12" s="51"/>
      <c r="R12" s="51"/>
      <c r="S12" s="51"/>
      <c r="T12" s="51"/>
      <c r="U12" s="51"/>
    </row>
    <row r="13" spans="1:21" ht="8" customHeight="1" x14ac:dyDescent="0.35">
      <c r="A13" s="26"/>
      <c r="B13" s="26"/>
      <c r="C13" s="26"/>
      <c r="D13" s="26"/>
      <c r="E13" s="26"/>
      <c r="F13" s="26"/>
      <c r="G13" s="26"/>
      <c r="H13" s="26"/>
      <c r="I13" s="26"/>
      <c r="J13" s="26"/>
      <c r="K13" s="26"/>
      <c r="L13" s="26"/>
      <c r="M13" s="26"/>
      <c r="N13" s="26"/>
      <c r="O13" s="26"/>
      <c r="P13" s="26"/>
      <c r="Q13" s="26"/>
      <c r="R13" s="26"/>
      <c r="S13" s="26"/>
      <c r="T13" s="26"/>
      <c r="U13" s="26"/>
    </row>
    <row r="14" spans="1:21" ht="22" customHeight="1" x14ac:dyDescent="0.35">
      <c r="A14" s="89" t="s">
        <v>1495</v>
      </c>
      <c r="B14" s="51"/>
      <c r="C14" s="51"/>
      <c r="D14" s="51"/>
      <c r="E14" s="51"/>
      <c r="F14" s="51"/>
      <c r="G14" s="51"/>
      <c r="H14" s="51"/>
      <c r="I14" s="51"/>
      <c r="J14" s="51"/>
      <c r="K14" s="51"/>
      <c r="L14" s="51"/>
      <c r="M14" s="51"/>
      <c r="N14" s="51"/>
      <c r="O14" s="51"/>
      <c r="P14" s="51"/>
      <c r="Q14" s="51"/>
      <c r="R14" s="51"/>
      <c r="S14" s="51"/>
      <c r="T14" s="51"/>
      <c r="U14" s="51"/>
    </row>
    <row r="15" spans="1:21" ht="22" customHeight="1" x14ac:dyDescent="0.35">
      <c r="A15" s="82" t="s">
        <v>1496</v>
      </c>
      <c r="B15" s="51"/>
      <c r="C15" s="51"/>
      <c r="D15" s="51"/>
      <c r="E15" s="51"/>
      <c r="F15" s="51"/>
      <c r="G15" s="51"/>
      <c r="H15" s="51"/>
      <c r="I15" s="51"/>
      <c r="J15" s="51"/>
      <c r="K15" s="51"/>
      <c r="L15" s="93" t="s">
        <v>1497</v>
      </c>
      <c r="M15" s="51"/>
      <c r="N15" s="51"/>
      <c r="O15" s="51"/>
      <c r="P15" s="51"/>
      <c r="Q15" s="51"/>
      <c r="R15" s="51"/>
      <c r="S15" s="51"/>
      <c r="T15" s="51"/>
      <c r="U15" s="51"/>
    </row>
    <row r="16" spans="1:21" ht="22" customHeight="1" x14ac:dyDescent="0.35">
      <c r="A16" s="82" t="s">
        <v>1498</v>
      </c>
      <c r="B16" s="51"/>
      <c r="C16" s="51"/>
      <c r="D16" s="51"/>
      <c r="E16" s="51"/>
      <c r="F16" s="51"/>
      <c r="G16" s="51"/>
      <c r="H16" s="51"/>
      <c r="I16" s="51"/>
      <c r="J16" s="51"/>
      <c r="K16" s="51"/>
      <c r="L16" s="90" t="s">
        <v>1499</v>
      </c>
      <c r="M16" s="51"/>
      <c r="N16" s="51"/>
      <c r="O16" s="51"/>
      <c r="P16" s="51"/>
      <c r="Q16" s="51"/>
      <c r="R16" s="51"/>
      <c r="S16" s="51"/>
      <c r="T16" s="51"/>
      <c r="U16" s="51"/>
    </row>
    <row r="17" spans="1:21" ht="22" customHeight="1" x14ac:dyDescent="0.35">
      <c r="A17" s="82" t="s">
        <v>1500</v>
      </c>
      <c r="B17" s="51"/>
      <c r="C17" s="51"/>
      <c r="D17" s="51"/>
      <c r="E17" s="51"/>
      <c r="F17" s="51"/>
      <c r="G17" s="51"/>
      <c r="H17" s="51"/>
      <c r="I17" s="51"/>
      <c r="J17" s="51"/>
      <c r="K17" s="51"/>
      <c r="L17" s="88" t="s">
        <v>1501</v>
      </c>
      <c r="M17" s="51"/>
      <c r="N17" s="51"/>
      <c r="O17" s="51"/>
      <c r="P17" s="51"/>
      <c r="Q17" s="51"/>
      <c r="R17" s="51"/>
      <c r="S17" s="51"/>
      <c r="T17" s="51"/>
      <c r="U17" s="51"/>
    </row>
    <row r="18" spans="1:21" ht="22" customHeight="1" x14ac:dyDescent="0.35">
      <c r="A18" s="82" t="s">
        <v>1502</v>
      </c>
      <c r="B18" s="51"/>
      <c r="C18" s="51"/>
      <c r="D18" s="51"/>
      <c r="E18" s="51"/>
      <c r="F18" s="51"/>
      <c r="G18" s="51"/>
      <c r="H18" s="51"/>
      <c r="I18" s="51"/>
      <c r="J18" s="51"/>
      <c r="K18" s="51"/>
      <c r="L18" s="83" t="s">
        <v>1503</v>
      </c>
      <c r="M18" s="51"/>
      <c r="N18" s="51"/>
      <c r="O18" s="51"/>
      <c r="P18" s="51"/>
      <c r="Q18" s="51"/>
      <c r="R18" s="51"/>
      <c r="S18" s="51"/>
      <c r="T18" s="51"/>
      <c r="U18" s="51"/>
    </row>
    <row r="19" spans="1:21" ht="22" customHeight="1" x14ac:dyDescent="0.35">
      <c r="A19" s="82" t="s">
        <v>1504</v>
      </c>
      <c r="B19" s="51"/>
      <c r="C19" s="51"/>
      <c r="D19" s="51"/>
      <c r="E19" s="51"/>
      <c r="F19" s="51"/>
      <c r="G19" s="51"/>
      <c r="H19" s="51"/>
      <c r="I19" s="51"/>
      <c r="J19" s="51"/>
      <c r="K19" s="51"/>
      <c r="L19" s="92" t="s">
        <v>1505</v>
      </c>
      <c r="M19" s="51"/>
      <c r="N19" s="51"/>
      <c r="O19" s="51"/>
      <c r="P19" s="51"/>
      <c r="Q19" s="51"/>
      <c r="R19" s="51"/>
      <c r="S19" s="51"/>
      <c r="T19" s="51"/>
      <c r="U19" s="51"/>
    </row>
    <row r="20" spans="1:21" ht="22" customHeight="1" x14ac:dyDescent="0.35">
      <c r="A20" s="82" t="s">
        <v>1506</v>
      </c>
      <c r="B20" s="51"/>
      <c r="C20" s="51"/>
      <c r="D20" s="51"/>
      <c r="E20" s="51"/>
      <c r="F20" s="51"/>
      <c r="G20" s="51"/>
      <c r="H20" s="51"/>
      <c r="I20" s="51"/>
      <c r="J20" s="51"/>
      <c r="K20" s="51"/>
      <c r="L20" s="88" t="s">
        <v>1404</v>
      </c>
      <c r="M20" s="51"/>
      <c r="N20" s="51"/>
      <c r="O20" s="51"/>
      <c r="P20" s="51"/>
      <c r="Q20" s="51"/>
      <c r="R20" s="51"/>
      <c r="S20" s="51"/>
      <c r="T20" s="51"/>
      <c r="U20" s="51"/>
    </row>
    <row r="21" spans="1:21" ht="22" customHeight="1" x14ac:dyDescent="0.35">
      <c r="A21" s="82" t="s">
        <v>1507</v>
      </c>
      <c r="B21" s="51"/>
      <c r="C21" s="51"/>
      <c r="D21" s="51"/>
      <c r="E21" s="51"/>
      <c r="F21" s="51"/>
      <c r="G21" s="51"/>
      <c r="H21" s="51"/>
      <c r="I21" s="51"/>
      <c r="J21" s="51"/>
      <c r="K21" s="51"/>
      <c r="L21" s="81" t="s">
        <v>1508</v>
      </c>
      <c r="M21" s="51"/>
      <c r="N21" s="51"/>
      <c r="O21" s="51"/>
      <c r="P21" s="51"/>
      <c r="Q21" s="51"/>
      <c r="R21" s="51"/>
      <c r="S21" s="51"/>
      <c r="T21" s="51"/>
      <c r="U21" s="51"/>
    </row>
    <row r="22" spans="1:21" ht="22" customHeight="1" x14ac:dyDescent="0.35">
      <c r="A22" s="82" t="s">
        <v>1509</v>
      </c>
      <c r="B22" s="51"/>
      <c r="C22" s="51"/>
      <c r="D22" s="51"/>
      <c r="E22" s="51"/>
      <c r="F22" s="51"/>
      <c r="G22" s="51"/>
      <c r="H22" s="51"/>
      <c r="I22" s="51"/>
      <c r="J22" s="51"/>
      <c r="K22" s="51"/>
      <c r="L22" s="83" t="s">
        <v>1464</v>
      </c>
      <c r="M22" s="51"/>
      <c r="N22" s="51"/>
      <c r="O22" s="51"/>
      <c r="P22" s="51"/>
      <c r="Q22" s="51"/>
      <c r="R22" s="51"/>
      <c r="S22" s="51"/>
      <c r="T22" s="51"/>
      <c r="U22" s="51"/>
    </row>
    <row r="23" spans="1:21" ht="8" customHeight="1" x14ac:dyDescent="0.35">
      <c r="A23" s="26"/>
      <c r="B23" s="26"/>
      <c r="C23" s="26"/>
      <c r="D23" s="26"/>
      <c r="E23" s="26"/>
      <c r="F23" s="26"/>
      <c r="G23" s="26"/>
      <c r="H23" s="26"/>
      <c r="I23" s="26"/>
      <c r="J23" s="26"/>
      <c r="K23" s="26"/>
      <c r="L23" s="26"/>
      <c r="M23" s="26"/>
      <c r="N23" s="26"/>
      <c r="O23" s="26"/>
      <c r="P23" s="26"/>
      <c r="Q23" s="26"/>
      <c r="R23" s="26"/>
      <c r="S23" s="26"/>
      <c r="T23" s="26"/>
      <c r="U23" s="26"/>
    </row>
    <row r="24" spans="1:21" ht="22" customHeight="1" x14ac:dyDescent="0.35">
      <c r="A24" s="94" t="s">
        <v>1510</v>
      </c>
      <c r="B24" s="51"/>
      <c r="C24" s="51"/>
      <c r="D24" s="51"/>
      <c r="E24" s="51"/>
      <c r="F24" s="51"/>
      <c r="G24" s="51"/>
      <c r="H24" s="51"/>
      <c r="I24" s="51"/>
      <c r="J24" s="51"/>
      <c r="K24" s="51"/>
      <c r="L24" s="51"/>
      <c r="M24" s="51"/>
      <c r="N24" s="51"/>
      <c r="O24" s="51"/>
      <c r="P24" s="51"/>
      <c r="Q24" s="51"/>
      <c r="R24" s="51"/>
      <c r="S24" s="51"/>
      <c r="T24" s="51"/>
      <c r="U24" s="51"/>
    </row>
    <row r="25" spans="1:21" ht="22" customHeight="1" x14ac:dyDescent="0.35">
      <c r="A25" s="82" t="s">
        <v>1511</v>
      </c>
      <c r="B25" s="51"/>
      <c r="C25" s="51"/>
      <c r="D25" s="51"/>
      <c r="E25" s="51"/>
      <c r="F25" s="51"/>
      <c r="G25" s="51"/>
      <c r="H25" s="51"/>
      <c r="I25" s="51"/>
      <c r="J25" s="51"/>
      <c r="K25" s="51"/>
      <c r="L25" s="81" t="s">
        <v>31</v>
      </c>
      <c r="M25" s="51"/>
      <c r="N25" s="51"/>
      <c r="O25" s="51"/>
      <c r="P25" s="51"/>
      <c r="Q25" s="51"/>
      <c r="R25" s="51"/>
      <c r="S25" s="51"/>
      <c r="T25" s="51"/>
      <c r="U25" s="51"/>
    </row>
    <row r="26" spans="1:21" ht="22" customHeight="1" x14ac:dyDescent="0.35">
      <c r="A26" s="82" t="s">
        <v>1512</v>
      </c>
      <c r="B26" s="51"/>
      <c r="C26" s="51"/>
      <c r="D26" s="51"/>
      <c r="E26" s="51"/>
      <c r="F26" s="51"/>
      <c r="G26" s="51"/>
      <c r="H26" s="51"/>
      <c r="I26" s="51"/>
      <c r="J26" s="51"/>
      <c r="K26" s="51"/>
      <c r="L26" s="83" t="s">
        <v>23</v>
      </c>
      <c r="M26" s="51"/>
      <c r="N26" s="51"/>
      <c r="O26" s="51"/>
      <c r="P26" s="51"/>
      <c r="Q26" s="51"/>
      <c r="R26" s="51"/>
      <c r="S26" s="51"/>
      <c r="T26" s="51"/>
      <c r="U26" s="51"/>
    </row>
    <row r="27" spans="1:21" ht="22" customHeight="1" x14ac:dyDescent="0.35">
      <c r="A27" s="82" t="s">
        <v>1513</v>
      </c>
      <c r="B27" s="51"/>
      <c r="C27" s="51"/>
      <c r="D27" s="51"/>
      <c r="E27" s="51"/>
      <c r="F27" s="51"/>
      <c r="G27" s="51"/>
      <c r="H27" s="51"/>
      <c r="I27" s="51"/>
      <c r="J27" s="51"/>
      <c r="K27" s="51"/>
      <c r="L27" s="81" t="s">
        <v>42</v>
      </c>
      <c r="M27" s="51"/>
      <c r="N27" s="51"/>
      <c r="O27" s="51"/>
      <c r="P27" s="51"/>
      <c r="Q27" s="51"/>
      <c r="R27" s="51"/>
      <c r="S27" s="51"/>
      <c r="T27" s="51"/>
      <c r="U27" s="51"/>
    </row>
    <row r="28" spans="1:21" ht="22" customHeight="1" x14ac:dyDescent="0.35">
      <c r="A28" s="82" t="s">
        <v>1514</v>
      </c>
      <c r="B28" s="51"/>
      <c r="C28" s="51"/>
      <c r="D28" s="51"/>
      <c r="E28" s="51"/>
      <c r="F28" s="51"/>
      <c r="G28" s="51"/>
      <c r="H28" s="51"/>
      <c r="I28" s="51"/>
      <c r="J28" s="51"/>
      <c r="K28" s="51"/>
      <c r="L28" s="83" t="s">
        <v>53</v>
      </c>
      <c r="M28" s="51"/>
      <c r="N28" s="51"/>
      <c r="O28" s="51"/>
      <c r="P28" s="51"/>
      <c r="Q28" s="51"/>
      <c r="R28" s="51"/>
      <c r="S28" s="51"/>
      <c r="T28" s="51"/>
      <c r="U28" s="51"/>
    </row>
    <row r="29" spans="1:21" ht="22" customHeight="1" x14ac:dyDescent="0.35">
      <c r="A29" s="82" t="s">
        <v>1515</v>
      </c>
      <c r="B29" s="51"/>
      <c r="C29" s="51"/>
      <c r="D29" s="51"/>
      <c r="E29" s="51"/>
      <c r="F29" s="51"/>
      <c r="G29" s="51"/>
      <c r="H29" s="51"/>
      <c r="I29" s="51"/>
      <c r="J29" s="51"/>
      <c r="K29" s="51"/>
      <c r="L29" s="81" t="s">
        <v>22</v>
      </c>
      <c r="M29" s="51"/>
      <c r="N29" s="51"/>
      <c r="O29" s="51"/>
      <c r="P29" s="51"/>
      <c r="Q29" s="51"/>
      <c r="R29" s="51"/>
      <c r="S29" s="51"/>
      <c r="T29" s="51"/>
      <c r="U29" s="51"/>
    </row>
    <row r="30" spans="1:21" ht="22" customHeight="1" x14ac:dyDescent="0.35">
      <c r="A30" s="82" t="s">
        <v>1516</v>
      </c>
      <c r="B30" s="51"/>
      <c r="C30" s="51"/>
      <c r="D30" s="51"/>
      <c r="E30" s="51"/>
      <c r="F30" s="51"/>
      <c r="G30" s="51"/>
      <c r="H30" s="51"/>
      <c r="I30" s="51"/>
      <c r="J30" s="51"/>
      <c r="K30" s="51"/>
      <c r="L30" s="81" t="s">
        <v>1433</v>
      </c>
      <c r="M30" s="51"/>
      <c r="N30" s="51"/>
      <c r="O30" s="51"/>
      <c r="P30" s="51"/>
      <c r="Q30" s="51"/>
      <c r="R30" s="51"/>
      <c r="S30" s="51"/>
      <c r="T30" s="51"/>
      <c r="U30" s="51"/>
    </row>
    <row r="31" spans="1:21" ht="22" customHeight="1" x14ac:dyDescent="0.35">
      <c r="A31" s="82" t="s">
        <v>1517</v>
      </c>
      <c r="B31" s="51"/>
      <c r="C31" s="51"/>
      <c r="D31" s="51"/>
      <c r="E31" s="51"/>
      <c r="F31" s="51"/>
      <c r="G31" s="51"/>
      <c r="H31" s="51"/>
      <c r="I31" s="51"/>
      <c r="J31" s="51"/>
      <c r="K31" s="51"/>
      <c r="L31" s="83" t="s">
        <v>1443</v>
      </c>
      <c r="M31" s="51"/>
      <c r="N31" s="51"/>
      <c r="O31" s="51"/>
      <c r="P31" s="51"/>
      <c r="Q31" s="51"/>
      <c r="R31" s="51"/>
      <c r="S31" s="51"/>
      <c r="T31" s="51"/>
      <c r="U31" s="51"/>
    </row>
    <row r="32" spans="1:21" ht="8" customHeight="1" x14ac:dyDescent="0.35">
      <c r="A32" s="26"/>
      <c r="B32" s="26"/>
      <c r="C32" s="26"/>
      <c r="D32" s="26"/>
      <c r="E32" s="26"/>
      <c r="F32" s="26"/>
      <c r="G32" s="26"/>
      <c r="H32" s="26"/>
      <c r="I32" s="26"/>
      <c r="J32" s="26"/>
      <c r="K32" s="26"/>
      <c r="L32" s="26"/>
      <c r="M32" s="26"/>
      <c r="N32" s="26"/>
      <c r="O32" s="26"/>
      <c r="P32" s="26"/>
      <c r="Q32" s="26"/>
      <c r="R32" s="26"/>
      <c r="S32" s="26"/>
      <c r="T32" s="26"/>
      <c r="U32" s="26"/>
    </row>
    <row r="33" spans="1:21" ht="22" customHeight="1" x14ac:dyDescent="0.35">
      <c r="A33" s="87" t="s">
        <v>1518</v>
      </c>
      <c r="B33" s="51"/>
      <c r="C33" s="51"/>
      <c r="D33" s="51"/>
      <c r="E33" s="51"/>
      <c r="F33" s="51"/>
      <c r="G33" s="51"/>
      <c r="H33" s="51"/>
      <c r="I33" s="51"/>
      <c r="J33" s="51"/>
      <c r="K33" s="51"/>
      <c r="L33" s="51"/>
      <c r="M33" s="51"/>
      <c r="N33" s="51"/>
      <c r="O33" s="51"/>
      <c r="P33" s="51"/>
      <c r="Q33" s="51"/>
      <c r="R33" s="51"/>
      <c r="S33" s="51"/>
      <c r="T33" s="51"/>
      <c r="U33" s="51"/>
    </row>
    <row r="34" spans="1:21" ht="22" customHeight="1" x14ac:dyDescent="0.35">
      <c r="A34" s="82" t="s">
        <v>1519</v>
      </c>
      <c r="B34" s="51"/>
      <c r="C34" s="51"/>
      <c r="D34" s="51"/>
      <c r="E34" s="51"/>
      <c r="F34" s="51"/>
      <c r="G34" s="51"/>
      <c r="H34" s="51"/>
      <c r="I34" s="51"/>
      <c r="J34" s="51"/>
      <c r="K34" s="51"/>
      <c r="L34" s="84" t="s">
        <v>1520</v>
      </c>
      <c r="M34" s="51"/>
      <c r="N34" s="51"/>
      <c r="O34" s="51"/>
      <c r="P34" s="51"/>
      <c r="Q34" s="51"/>
      <c r="R34" s="51"/>
      <c r="S34" s="51"/>
      <c r="T34" s="51"/>
      <c r="U34" s="51"/>
    </row>
    <row r="35" spans="1:21" ht="22" customHeight="1" x14ac:dyDescent="0.35">
      <c r="A35" s="82" t="s">
        <v>1521</v>
      </c>
      <c r="B35" s="51"/>
      <c r="C35" s="51"/>
      <c r="D35" s="51"/>
      <c r="E35" s="51"/>
      <c r="F35" s="51"/>
      <c r="G35" s="51"/>
      <c r="H35" s="51"/>
      <c r="I35" s="51"/>
      <c r="J35" s="51"/>
      <c r="K35" s="51"/>
      <c r="L35" s="83" t="s">
        <v>1520</v>
      </c>
      <c r="M35" s="51"/>
      <c r="N35" s="51"/>
      <c r="O35" s="51"/>
      <c r="P35" s="51"/>
      <c r="Q35" s="51"/>
      <c r="R35" s="51"/>
      <c r="S35" s="51"/>
      <c r="T35" s="51"/>
      <c r="U35" s="51"/>
    </row>
    <row r="36" spans="1:21" ht="22" customHeight="1" x14ac:dyDescent="0.35">
      <c r="A36" s="82" t="s">
        <v>1522</v>
      </c>
      <c r="B36" s="51"/>
      <c r="C36" s="51"/>
      <c r="D36" s="51"/>
      <c r="E36" s="51"/>
      <c r="F36" s="51"/>
      <c r="G36" s="51"/>
      <c r="H36" s="51"/>
      <c r="I36" s="51"/>
      <c r="J36" s="51"/>
      <c r="K36" s="51"/>
      <c r="L36" s="85" t="s">
        <v>1523</v>
      </c>
      <c r="M36" s="51"/>
      <c r="N36" s="51"/>
      <c r="O36" s="51"/>
      <c r="P36" s="51"/>
      <c r="Q36" s="51"/>
      <c r="R36" s="51"/>
      <c r="S36" s="51"/>
      <c r="T36" s="51"/>
      <c r="U36" s="51"/>
    </row>
    <row r="37" spans="1:21" ht="22" customHeight="1" x14ac:dyDescent="0.35">
      <c r="A37" s="82" t="s">
        <v>1524</v>
      </c>
      <c r="B37" s="51"/>
      <c r="C37" s="51"/>
      <c r="D37" s="51"/>
      <c r="E37" s="51"/>
      <c r="F37" s="51"/>
      <c r="G37" s="51"/>
      <c r="H37" s="51"/>
      <c r="I37" s="51"/>
      <c r="J37" s="51"/>
      <c r="K37" s="51"/>
      <c r="L37" s="92" t="s">
        <v>1523</v>
      </c>
      <c r="M37" s="51"/>
      <c r="N37" s="51"/>
      <c r="O37" s="51"/>
      <c r="P37" s="51"/>
      <c r="Q37" s="51"/>
      <c r="R37" s="51"/>
      <c r="S37" s="51"/>
      <c r="T37" s="51"/>
      <c r="U37" s="51"/>
    </row>
    <row r="38" spans="1:21" ht="22" customHeight="1" x14ac:dyDescent="0.35">
      <c r="A38" s="82" t="s">
        <v>1525</v>
      </c>
      <c r="B38" s="51"/>
      <c r="C38" s="51"/>
      <c r="D38" s="51"/>
      <c r="E38" s="51"/>
      <c r="F38" s="51"/>
      <c r="G38" s="51"/>
      <c r="H38" s="51"/>
      <c r="I38" s="51"/>
      <c r="J38" s="51"/>
      <c r="K38" s="51"/>
      <c r="L38" s="93" t="s">
        <v>1526</v>
      </c>
      <c r="M38" s="51"/>
      <c r="N38" s="51"/>
      <c r="O38" s="51"/>
      <c r="P38" s="51"/>
      <c r="Q38" s="51"/>
      <c r="R38" s="51"/>
      <c r="S38" s="51"/>
      <c r="T38" s="51"/>
      <c r="U38" s="51"/>
    </row>
    <row r="39" spans="1:21" ht="20" customHeight="1" x14ac:dyDescent="0.35">
      <c r="A39" s="26"/>
      <c r="B39" s="26"/>
      <c r="C39" s="26"/>
      <c r="D39" s="26"/>
      <c r="E39" s="26"/>
      <c r="F39" s="26"/>
      <c r="G39" s="26"/>
      <c r="H39" s="26"/>
      <c r="I39" s="26"/>
      <c r="J39" s="26"/>
      <c r="K39" s="26"/>
      <c r="L39" s="26"/>
      <c r="M39" s="26"/>
      <c r="N39" s="26"/>
      <c r="O39" s="26"/>
      <c r="P39" s="26"/>
      <c r="Q39" s="26"/>
      <c r="R39" s="26"/>
      <c r="S39" s="26"/>
      <c r="T39" s="26"/>
      <c r="U39" s="26"/>
    </row>
    <row r="40" spans="1:21" ht="20" customHeight="1" x14ac:dyDescent="0.35">
      <c r="A40" s="26"/>
      <c r="B40" s="26"/>
      <c r="C40" s="26"/>
      <c r="D40" s="26"/>
      <c r="E40" s="26"/>
      <c r="F40" s="26"/>
      <c r="G40" s="26"/>
      <c r="H40" s="26"/>
      <c r="I40" s="26"/>
      <c r="J40" s="26"/>
      <c r="K40" s="26"/>
      <c r="L40" s="26"/>
      <c r="M40" s="26"/>
      <c r="N40" s="26"/>
      <c r="O40" s="26"/>
      <c r="P40" s="26"/>
      <c r="Q40" s="26"/>
      <c r="R40" s="26"/>
      <c r="S40" s="26"/>
      <c r="T40" s="26"/>
      <c r="U40" s="26"/>
    </row>
    <row r="41" spans="1:21" ht="20" customHeight="1" x14ac:dyDescent="0.35">
      <c r="A41" s="26"/>
      <c r="B41" s="26"/>
      <c r="C41" s="26"/>
      <c r="D41" s="26"/>
      <c r="E41" s="26"/>
      <c r="F41" s="26"/>
      <c r="G41" s="26"/>
      <c r="H41" s="26"/>
      <c r="I41" s="26"/>
      <c r="J41" s="26"/>
      <c r="K41" s="26"/>
      <c r="L41" s="26"/>
      <c r="M41" s="26"/>
      <c r="N41" s="26"/>
      <c r="O41" s="26"/>
      <c r="P41" s="26"/>
      <c r="Q41" s="26"/>
      <c r="R41" s="26"/>
      <c r="S41" s="26"/>
      <c r="T41" s="26"/>
      <c r="U41" s="26"/>
    </row>
    <row r="42" spans="1:21" ht="20" customHeight="1" x14ac:dyDescent="0.35">
      <c r="A42" s="26"/>
      <c r="B42" s="26"/>
      <c r="C42" s="26"/>
      <c r="D42" s="26"/>
      <c r="E42" s="26"/>
      <c r="F42" s="26"/>
      <c r="G42" s="26"/>
      <c r="H42" s="26"/>
      <c r="I42" s="26"/>
      <c r="J42" s="26"/>
      <c r="K42" s="26"/>
      <c r="L42" s="26"/>
      <c r="M42" s="26"/>
      <c r="N42" s="26"/>
      <c r="O42" s="26"/>
      <c r="P42" s="26"/>
      <c r="Q42" s="26"/>
      <c r="R42" s="26"/>
      <c r="S42" s="26"/>
      <c r="T42" s="26"/>
      <c r="U42" s="26"/>
    </row>
    <row r="43" spans="1:21" ht="20" customHeight="1" x14ac:dyDescent="0.35">
      <c r="A43" s="26"/>
      <c r="B43" s="26"/>
      <c r="C43" s="26"/>
      <c r="D43" s="26"/>
      <c r="E43" s="26"/>
      <c r="F43" s="26"/>
      <c r="G43" s="26"/>
      <c r="H43" s="26"/>
      <c r="I43" s="26"/>
      <c r="J43" s="26"/>
      <c r="K43" s="26"/>
      <c r="L43" s="26"/>
      <c r="M43" s="26"/>
      <c r="N43" s="26"/>
      <c r="O43" s="26"/>
      <c r="P43" s="26"/>
      <c r="Q43" s="26"/>
      <c r="R43" s="26"/>
      <c r="S43" s="26"/>
      <c r="T43" s="26"/>
      <c r="U43" s="26"/>
    </row>
    <row r="44" spans="1:21" ht="20" customHeight="1" x14ac:dyDescent="0.35">
      <c r="A44" s="26"/>
      <c r="B44" s="26"/>
      <c r="C44" s="26"/>
      <c r="D44" s="26"/>
      <c r="E44" s="26"/>
      <c r="F44" s="26"/>
      <c r="G44" s="26"/>
      <c r="H44" s="26"/>
      <c r="I44" s="26"/>
      <c r="J44" s="26"/>
      <c r="K44" s="26"/>
      <c r="L44" s="26"/>
      <c r="M44" s="26"/>
      <c r="N44" s="26"/>
      <c r="O44" s="26"/>
      <c r="P44" s="26"/>
      <c r="Q44" s="26"/>
      <c r="R44" s="26"/>
      <c r="S44" s="26"/>
      <c r="T44" s="26"/>
      <c r="U44" s="26"/>
    </row>
    <row r="45" spans="1:21" ht="20" customHeight="1" x14ac:dyDescent="0.35">
      <c r="A45" s="26"/>
      <c r="B45" s="26"/>
      <c r="C45" s="26"/>
      <c r="D45" s="26"/>
      <c r="E45" s="26"/>
      <c r="F45" s="26"/>
      <c r="G45" s="26"/>
      <c r="H45" s="26"/>
      <c r="I45" s="26"/>
      <c r="J45" s="26"/>
      <c r="K45" s="26"/>
      <c r="L45" s="26"/>
      <c r="M45" s="26"/>
      <c r="N45" s="26"/>
      <c r="O45" s="26"/>
      <c r="P45" s="26"/>
      <c r="Q45" s="26"/>
      <c r="R45" s="26"/>
      <c r="S45" s="26"/>
      <c r="T45" s="26"/>
      <c r="U45" s="26"/>
    </row>
    <row r="46" spans="1:21" ht="20" customHeight="1" x14ac:dyDescent="0.35">
      <c r="A46" s="26"/>
      <c r="B46" s="26"/>
      <c r="C46" s="26"/>
      <c r="D46" s="26"/>
      <c r="E46" s="26"/>
      <c r="F46" s="26"/>
      <c r="G46" s="26"/>
      <c r="H46" s="26"/>
      <c r="I46" s="26"/>
      <c r="J46" s="26"/>
      <c r="K46" s="26"/>
      <c r="L46" s="26"/>
      <c r="M46" s="26"/>
      <c r="N46" s="26"/>
      <c r="O46" s="26"/>
      <c r="P46" s="26"/>
      <c r="Q46" s="26"/>
      <c r="R46" s="26"/>
      <c r="S46" s="26"/>
      <c r="T46" s="26"/>
      <c r="U46" s="26"/>
    </row>
    <row r="47" spans="1:21" ht="20" customHeight="1" x14ac:dyDescent="0.35">
      <c r="A47" s="26"/>
      <c r="B47" s="26"/>
      <c r="C47" s="26"/>
      <c r="D47" s="26"/>
      <c r="E47" s="26"/>
      <c r="F47" s="26"/>
      <c r="G47" s="26"/>
      <c r="H47" s="26"/>
      <c r="I47" s="26"/>
      <c r="J47" s="26"/>
      <c r="K47" s="26"/>
      <c r="L47" s="26"/>
      <c r="M47" s="26"/>
      <c r="N47" s="26"/>
      <c r="O47" s="26"/>
      <c r="P47" s="26"/>
      <c r="Q47" s="26"/>
      <c r="R47" s="26"/>
      <c r="S47" s="26"/>
      <c r="T47" s="26"/>
      <c r="U47" s="26"/>
    </row>
    <row r="48" spans="1:21" ht="20" customHeight="1" x14ac:dyDescent="0.35">
      <c r="A48" s="26"/>
      <c r="B48" s="26"/>
      <c r="C48" s="26"/>
      <c r="D48" s="26"/>
      <c r="E48" s="26"/>
      <c r="F48" s="26"/>
      <c r="G48" s="26"/>
      <c r="H48" s="26"/>
      <c r="I48" s="26"/>
      <c r="J48" s="26"/>
      <c r="K48" s="26"/>
      <c r="L48" s="26"/>
      <c r="M48" s="26"/>
      <c r="N48" s="26"/>
      <c r="O48" s="26"/>
      <c r="P48" s="26"/>
      <c r="Q48" s="26"/>
      <c r="R48" s="26"/>
      <c r="S48" s="26"/>
      <c r="T48" s="26"/>
      <c r="U48" s="26"/>
    </row>
    <row r="49" spans="1:21" ht="20" customHeight="1" x14ac:dyDescent="0.35">
      <c r="A49" s="26"/>
      <c r="B49" s="26"/>
      <c r="C49" s="26"/>
      <c r="D49" s="26"/>
      <c r="E49" s="26"/>
      <c r="F49" s="26"/>
      <c r="G49" s="26"/>
      <c r="H49" s="26"/>
      <c r="I49" s="26"/>
      <c r="J49" s="26"/>
      <c r="K49" s="26"/>
      <c r="L49" s="26"/>
      <c r="M49" s="26"/>
      <c r="N49" s="26"/>
      <c r="O49" s="26"/>
      <c r="P49" s="26"/>
      <c r="Q49" s="26"/>
      <c r="R49" s="26"/>
      <c r="S49" s="26"/>
      <c r="T49" s="26"/>
      <c r="U49" s="26"/>
    </row>
    <row r="50" spans="1:21" ht="20" customHeight="1" x14ac:dyDescent="0.35">
      <c r="A50" s="26"/>
      <c r="B50" s="26"/>
      <c r="C50" s="26"/>
      <c r="D50" s="26"/>
      <c r="E50" s="26"/>
      <c r="F50" s="26"/>
      <c r="G50" s="26"/>
      <c r="H50" s="26"/>
      <c r="I50" s="26"/>
      <c r="J50" s="26"/>
      <c r="K50" s="26"/>
      <c r="L50" s="26"/>
      <c r="M50" s="26"/>
      <c r="N50" s="26"/>
      <c r="O50" s="26"/>
      <c r="P50" s="26"/>
      <c r="Q50" s="26"/>
      <c r="R50" s="26"/>
      <c r="S50" s="26"/>
      <c r="T50" s="26"/>
      <c r="U50" s="26"/>
    </row>
    <row r="51" spans="1:21" ht="20" customHeight="1" x14ac:dyDescent="0.35">
      <c r="A51" s="26"/>
      <c r="B51" s="26"/>
      <c r="C51" s="26"/>
      <c r="D51" s="26"/>
      <c r="E51" s="26"/>
      <c r="F51" s="26"/>
      <c r="G51" s="26"/>
      <c r="H51" s="26"/>
      <c r="I51" s="26"/>
      <c r="J51" s="26"/>
      <c r="K51" s="26"/>
      <c r="L51" s="26"/>
      <c r="M51" s="26"/>
      <c r="N51" s="26"/>
      <c r="O51" s="26"/>
      <c r="P51" s="26"/>
      <c r="Q51" s="26"/>
      <c r="R51" s="26"/>
      <c r="S51" s="26"/>
      <c r="T51" s="26"/>
      <c r="U51" s="26"/>
    </row>
    <row r="52" spans="1:21" ht="20" customHeight="1" x14ac:dyDescent="0.35">
      <c r="A52" s="26"/>
      <c r="B52" s="26"/>
      <c r="C52" s="26"/>
      <c r="D52" s="26"/>
      <c r="E52" s="26"/>
      <c r="F52" s="26"/>
      <c r="G52" s="26"/>
      <c r="H52" s="26"/>
      <c r="I52" s="26"/>
      <c r="J52" s="26"/>
      <c r="K52" s="26"/>
      <c r="L52" s="26"/>
      <c r="M52" s="26"/>
      <c r="N52" s="26"/>
      <c r="O52" s="26"/>
      <c r="P52" s="26"/>
      <c r="Q52" s="26"/>
      <c r="R52" s="26"/>
      <c r="S52" s="26"/>
      <c r="T52" s="26"/>
      <c r="U52" s="26"/>
    </row>
    <row r="53" spans="1:21" ht="20" customHeight="1" x14ac:dyDescent="0.35">
      <c r="A53" s="26"/>
      <c r="B53" s="26"/>
      <c r="C53" s="26"/>
      <c r="D53" s="26"/>
      <c r="E53" s="26"/>
      <c r="F53" s="26"/>
      <c r="G53" s="26"/>
      <c r="H53" s="26"/>
      <c r="I53" s="26"/>
      <c r="J53" s="26"/>
      <c r="K53" s="26"/>
      <c r="L53" s="26"/>
      <c r="M53" s="26"/>
      <c r="N53" s="26"/>
      <c r="O53" s="26"/>
      <c r="P53" s="26"/>
      <c r="Q53" s="26"/>
      <c r="R53" s="26"/>
      <c r="S53" s="26"/>
      <c r="T53" s="26"/>
      <c r="U53" s="26"/>
    </row>
    <row r="54" spans="1:21" ht="20" customHeight="1" x14ac:dyDescent="0.35">
      <c r="A54" s="26"/>
      <c r="B54" s="26"/>
      <c r="C54" s="26"/>
      <c r="D54" s="26"/>
      <c r="E54" s="26"/>
      <c r="F54" s="26"/>
      <c r="G54" s="26"/>
      <c r="H54" s="26"/>
      <c r="I54" s="26"/>
      <c r="J54" s="26"/>
      <c r="K54" s="26"/>
      <c r="L54" s="26"/>
      <c r="M54" s="26"/>
      <c r="N54" s="26"/>
      <c r="O54" s="26"/>
      <c r="P54" s="26"/>
      <c r="Q54" s="26"/>
      <c r="R54" s="26"/>
      <c r="S54" s="26"/>
      <c r="T54" s="26"/>
      <c r="U54" s="26"/>
    </row>
  </sheetData>
  <mergeCells count="58">
    <mergeCell ref="A1:U3"/>
    <mergeCell ref="A6:U6"/>
    <mergeCell ref="A38:K38"/>
    <mergeCell ref="A19:K19"/>
    <mergeCell ref="L35:U35"/>
    <mergeCell ref="A10:K10"/>
    <mergeCell ref="L20:U20"/>
    <mergeCell ref="L26:U26"/>
    <mergeCell ref="A28:K28"/>
    <mergeCell ref="L29:U29"/>
    <mergeCell ref="L38:U38"/>
    <mergeCell ref="A37:K37"/>
    <mergeCell ref="L16:U16"/>
    <mergeCell ref="A27:K27"/>
    <mergeCell ref="A4:U4"/>
    <mergeCell ref="A12:K12"/>
    <mergeCell ref="A18:K18"/>
    <mergeCell ref="L28:U28"/>
    <mergeCell ref="A26:K26"/>
    <mergeCell ref="L19:U19"/>
    <mergeCell ref="A21:K21"/>
    <mergeCell ref="L37:U37"/>
    <mergeCell ref="L12:U12"/>
    <mergeCell ref="A31:K31"/>
    <mergeCell ref="L15:U15"/>
    <mergeCell ref="A17:K17"/>
    <mergeCell ref="A8:K8"/>
    <mergeCell ref="A7:K7"/>
    <mergeCell ref="A25:K25"/>
    <mergeCell ref="A33:U33"/>
    <mergeCell ref="A16:K16"/>
    <mergeCell ref="L17:U17"/>
    <mergeCell ref="A14:U14"/>
    <mergeCell ref="L7:U7"/>
    <mergeCell ref="A22:K22"/>
    <mergeCell ref="L18:U18"/>
    <mergeCell ref="A24:U24"/>
    <mergeCell ref="A20:K20"/>
    <mergeCell ref="A29:K29"/>
    <mergeCell ref="L8:U8"/>
    <mergeCell ref="L30:U30"/>
    <mergeCell ref="A9:K9"/>
    <mergeCell ref="A36:K36"/>
    <mergeCell ref="L21:U21"/>
    <mergeCell ref="L11:U11"/>
    <mergeCell ref="L36:U36"/>
    <mergeCell ref="L27:U27"/>
    <mergeCell ref="A35:K35"/>
    <mergeCell ref="L9:U9"/>
    <mergeCell ref="A15:K15"/>
    <mergeCell ref="L31:U31"/>
    <mergeCell ref="L34:U34"/>
    <mergeCell ref="A11:K11"/>
    <mergeCell ref="L10:U10"/>
    <mergeCell ref="A34:K34"/>
    <mergeCell ref="L25:U25"/>
    <mergeCell ref="L22:U22"/>
    <mergeCell ref="A30:K3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C950D-DB6B-4AC4-BDEB-1B5849A36EF5}">
  <dimension ref="A1:E42"/>
  <sheetViews>
    <sheetView zoomScale="40" zoomScaleNormal="40" workbookViewId="0">
      <selection activeCell="C31" sqref="A1:XFD1048576"/>
    </sheetView>
  </sheetViews>
  <sheetFormatPr defaultRowHeight="14.5" x14ac:dyDescent="0.35"/>
  <cols>
    <col min="1" max="1" width="12.36328125" style="98" bestFit="1" customWidth="1"/>
    <col min="2" max="4" width="12.7265625" style="98" bestFit="1" customWidth="1"/>
    <col min="5" max="5" width="16.36328125" style="98" bestFit="1" customWidth="1"/>
    <col min="6" max="16384" width="8.7265625" style="98"/>
  </cols>
  <sheetData>
    <row r="1" spans="1:5" x14ac:dyDescent="0.35">
      <c r="A1" s="98" t="s">
        <v>1527</v>
      </c>
      <c r="B1" s="98" t="s">
        <v>1530</v>
      </c>
    </row>
    <row r="2" spans="1:5" x14ac:dyDescent="0.35">
      <c r="A2" s="102" t="s">
        <v>31</v>
      </c>
      <c r="B2" s="103">
        <v>20104354.269999992</v>
      </c>
    </row>
    <row r="3" spans="1:5" x14ac:dyDescent="0.35">
      <c r="A3" s="102" t="s">
        <v>62</v>
      </c>
      <c r="B3" s="103">
        <v>12709012.040000005</v>
      </c>
    </row>
    <row r="4" spans="1:5" x14ac:dyDescent="0.35">
      <c r="A4" s="102" t="s">
        <v>38</v>
      </c>
      <c r="B4" s="103">
        <v>19125317.770000003</v>
      </c>
    </row>
    <row r="5" spans="1:5" x14ac:dyDescent="0.35">
      <c r="A5" s="102" t="s">
        <v>23</v>
      </c>
      <c r="B5" s="103">
        <v>10438113.619999995</v>
      </c>
    </row>
    <row r="6" spans="1:5" x14ac:dyDescent="0.35">
      <c r="A6" s="102" t="s">
        <v>98</v>
      </c>
      <c r="B6" s="103">
        <v>13278020.359999996</v>
      </c>
    </row>
    <row r="7" spans="1:5" x14ac:dyDescent="0.35">
      <c r="A7" s="102" t="s">
        <v>1528</v>
      </c>
      <c r="B7" s="103">
        <v>75654818.059999987</v>
      </c>
    </row>
    <row r="10" spans="1:5" x14ac:dyDescent="0.35">
      <c r="A10" s="98" t="s">
        <v>1527</v>
      </c>
      <c r="B10" s="98" t="s">
        <v>1530</v>
      </c>
      <c r="C10" s="98" t="s">
        <v>1529</v>
      </c>
      <c r="D10" s="98" t="s">
        <v>1532</v>
      </c>
      <c r="E10" s="98" t="s">
        <v>1531</v>
      </c>
    </row>
    <row r="11" spans="1:5" x14ac:dyDescent="0.35">
      <c r="A11" s="102" t="s">
        <v>74</v>
      </c>
      <c r="B11" s="103">
        <v>7109220.0699999994</v>
      </c>
      <c r="C11" s="103">
        <v>37</v>
      </c>
      <c r="D11" s="103">
        <v>16.070270270270267</v>
      </c>
      <c r="E11" s="103">
        <v>42329037.280000001</v>
      </c>
    </row>
    <row r="12" spans="1:5" x14ac:dyDescent="0.35">
      <c r="A12" s="102" t="s">
        <v>97</v>
      </c>
      <c r="B12" s="103">
        <v>2957826.3299999991</v>
      </c>
      <c r="C12" s="103">
        <v>64</v>
      </c>
      <c r="D12" s="103">
        <v>11.450937499999998</v>
      </c>
      <c r="E12" s="103">
        <v>28903710.369999994</v>
      </c>
    </row>
    <row r="13" spans="1:5" x14ac:dyDescent="0.35">
      <c r="A13" s="102" t="s">
        <v>50</v>
      </c>
      <c r="B13" s="103">
        <v>4544735.6599999974</v>
      </c>
      <c r="C13" s="103">
        <v>113</v>
      </c>
      <c r="D13" s="103">
        <v>13.469646017699121</v>
      </c>
      <c r="E13" s="103">
        <v>34547615.049999982</v>
      </c>
    </row>
    <row r="14" spans="1:5" x14ac:dyDescent="0.35">
      <c r="A14" s="102" t="s">
        <v>55</v>
      </c>
      <c r="B14" s="103">
        <v>12736782.919999996</v>
      </c>
      <c r="C14" s="103">
        <v>148</v>
      </c>
      <c r="D14" s="103">
        <v>11.34641891891892</v>
      </c>
      <c r="E14" s="103">
        <v>117760007.34</v>
      </c>
    </row>
    <row r="15" spans="1:5" x14ac:dyDescent="0.35">
      <c r="A15" s="102" t="s">
        <v>44</v>
      </c>
      <c r="B15" s="103">
        <v>15991754.060000001</v>
      </c>
      <c r="C15" s="103">
        <v>129</v>
      </c>
      <c r="D15" s="103">
        <v>15.556124031007757</v>
      </c>
      <c r="E15" s="103">
        <v>80290834.449999943</v>
      </c>
    </row>
    <row r="16" spans="1:5" x14ac:dyDescent="0.35">
      <c r="A16" s="102" t="s">
        <v>30</v>
      </c>
      <c r="B16" s="103">
        <v>8450710.1600000001</v>
      </c>
      <c r="C16" s="103">
        <v>90</v>
      </c>
      <c r="D16" s="103">
        <v>15.009000000000004</v>
      </c>
      <c r="E16" s="103">
        <v>57215035.269999996</v>
      </c>
    </row>
    <row r="17" spans="1:5" x14ac:dyDescent="0.35">
      <c r="A17" s="102" t="s">
        <v>22</v>
      </c>
      <c r="B17" s="103">
        <v>23863788.859999996</v>
      </c>
      <c r="C17" s="103">
        <v>219</v>
      </c>
      <c r="D17" s="103">
        <v>13.879132420091317</v>
      </c>
      <c r="E17" s="103">
        <v>192620633.40999994</v>
      </c>
    </row>
    <row r="18" spans="1:5" x14ac:dyDescent="0.35">
      <c r="A18" s="102" t="s">
        <v>1528</v>
      </c>
      <c r="B18" s="103">
        <v>75654818.060000032</v>
      </c>
      <c r="C18" s="103">
        <v>800</v>
      </c>
      <c r="D18" s="103">
        <v>13.657349999999992</v>
      </c>
      <c r="E18" s="103">
        <v>553666873.16999996</v>
      </c>
    </row>
    <row r="21" spans="1:5" x14ac:dyDescent="0.35">
      <c r="A21" s="98" t="s">
        <v>1527</v>
      </c>
      <c r="B21" s="98" t="s">
        <v>1530</v>
      </c>
    </row>
    <row r="22" spans="1:5" x14ac:dyDescent="0.35">
      <c r="A22" s="102" t="s">
        <v>24</v>
      </c>
      <c r="B22" s="103">
        <v>18494358.629999999</v>
      </c>
    </row>
    <row r="23" spans="1:5" x14ac:dyDescent="0.35">
      <c r="A23" s="102" t="s">
        <v>32</v>
      </c>
      <c r="B23" s="103">
        <v>63246952.650000021</v>
      </c>
    </row>
    <row r="24" spans="1:5" x14ac:dyDescent="0.35">
      <c r="A24" s="102" t="s">
        <v>65</v>
      </c>
      <c r="B24" s="103">
        <v>15598827.960000001</v>
      </c>
    </row>
    <row r="25" spans="1:5" x14ac:dyDescent="0.35">
      <c r="A25" s="102" t="s">
        <v>39</v>
      </c>
      <c r="B25" s="103">
        <v>-21685321.179999992</v>
      </c>
    </row>
    <row r="26" spans="1:5" x14ac:dyDescent="0.35">
      <c r="A26" s="102" t="s">
        <v>1528</v>
      </c>
      <c r="B26" s="103">
        <v>75654818.060000017</v>
      </c>
    </row>
    <row r="35" spans="1:2" x14ac:dyDescent="0.35">
      <c r="A35" s="100" t="s">
        <v>1533</v>
      </c>
    </row>
    <row r="36" spans="1:2" x14ac:dyDescent="0.35">
      <c r="A36" s="98" t="s">
        <v>1534</v>
      </c>
      <c r="B36" s="98" t="s">
        <v>18</v>
      </c>
    </row>
    <row r="37" spans="1:2" x14ac:dyDescent="0.35">
      <c r="A37" s="98" t="s">
        <v>1540</v>
      </c>
      <c r="B37" s="98" t="str">
        <f>VLOOKUP(B36,'TRADE LEDGER'!A:Q,6,0)</f>
        <v>T.Mason</v>
      </c>
    </row>
    <row r="38" spans="1:2" x14ac:dyDescent="0.35">
      <c r="A38" s="98" t="s">
        <v>1539</v>
      </c>
      <c r="B38" s="98" t="str">
        <f>VLOOKUP(B36,'TRADE LEDGER'!A:Q,4,0)</f>
        <v>NVIDIA Corp.</v>
      </c>
    </row>
    <row r="39" spans="1:2" x14ac:dyDescent="0.35">
      <c r="A39" s="98" t="s">
        <v>1538</v>
      </c>
      <c r="B39" s="98" t="str">
        <f>VLOOKUP(B36,'TRADE LEDGER'!A:Q,5,0)</f>
        <v>Technology</v>
      </c>
    </row>
    <row r="40" spans="1:2" x14ac:dyDescent="0.35">
      <c r="A40" s="98" t="s">
        <v>1537</v>
      </c>
      <c r="B40" s="98" t="str">
        <f>VLOOKUP(B36,'TRADE LEDGER'!A:Q,7,0)</f>
        <v>Arb</v>
      </c>
    </row>
    <row r="41" spans="1:2" x14ac:dyDescent="0.35">
      <c r="A41" s="98" t="s">
        <v>1536</v>
      </c>
      <c r="B41" s="98">
        <f>VLOOKUP(B36,'TRADE LEDGER'!A:Q,13,0)</f>
        <v>-49780.959999999999</v>
      </c>
    </row>
    <row r="42" spans="1:2" x14ac:dyDescent="0.35">
      <c r="A42" s="98" t="s">
        <v>1535</v>
      </c>
      <c r="B42" s="98" t="str">
        <f>VLOOKUP(B36,'TRADE LEDGER'!A:Q,15,0)</f>
        <v>LOW</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C6F23-E576-4ECF-A255-AF69A5F22ABC}">
  <dimension ref="A1:B10"/>
  <sheetViews>
    <sheetView showGridLines="0" tabSelected="1" zoomScale="80" zoomScaleNormal="80" workbookViewId="0">
      <selection activeCell="A10" sqref="A10"/>
    </sheetView>
  </sheetViews>
  <sheetFormatPr defaultRowHeight="14.5" x14ac:dyDescent="0.35"/>
  <cols>
    <col min="1" max="1" width="65.7265625" style="97" customWidth="1"/>
    <col min="2" max="2" width="24.453125" style="97" customWidth="1"/>
    <col min="3" max="16384" width="8.7265625" style="97"/>
  </cols>
  <sheetData>
    <row r="1" spans="1:2" ht="21" x14ac:dyDescent="0.5">
      <c r="A1" s="99" t="s">
        <v>1541</v>
      </c>
    </row>
    <row r="3" spans="1:2" x14ac:dyDescent="0.35">
      <c r="A3" s="100" t="s">
        <v>1543</v>
      </c>
      <c r="B3" s="98">
        <f>COUNTA('TRADE LEDGER'!A:A)-2</f>
        <v>800</v>
      </c>
    </row>
    <row r="4" spans="1:2" x14ac:dyDescent="0.35">
      <c r="A4" s="100" t="s">
        <v>1542</v>
      </c>
      <c r="B4" s="101">
        <f>SUM('TRADE LEDGER'!M:M)</f>
        <v>75654818.060000047</v>
      </c>
    </row>
    <row r="5" spans="1:2" x14ac:dyDescent="0.35">
      <c r="A5" s="100" t="s">
        <v>1544</v>
      </c>
      <c r="B5" s="101">
        <f>SUM('TRADE LEDGER'!K:K)</f>
        <v>553666873.17000079</v>
      </c>
    </row>
    <row r="6" spans="1:2" x14ac:dyDescent="0.35">
      <c r="A6" s="100" t="s">
        <v>1545</v>
      </c>
      <c r="B6" s="98" t="str">
        <f>INDEX('TRADE LEDGER'!F:F,MATCH(MAX('TRADE LEDGER'!M:M),'TRADE LEDGER'!M:M,0))</f>
        <v>D.Bill</v>
      </c>
    </row>
    <row r="7" spans="1:2" x14ac:dyDescent="0.35">
      <c r="A7" s="100" t="s">
        <v>1546</v>
      </c>
      <c r="B7" s="98" t="str">
        <f>INDEX('TRADE LEDGER'!E:E,MATCH(MAX('TRADE LEDGER'!M:M),'TRADE LEDGER'!M:M,0))</f>
        <v>Financials</v>
      </c>
    </row>
    <row r="8" spans="1:2" x14ac:dyDescent="0.35">
      <c r="A8" s="100" t="s">
        <v>1547</v>
      </c>
      <c r="B8" s="98" t="str">
        <f>INDEX('TRADE LEDGER'!G:G,MATCH(MAX('TRADE LEDGER'!M:M),'TRADE LEDGER'!M:M,0))</f>
        <v>Long</v>
      </c>
    </row>
    <row r="10" spans="1:2" x14ac:dyDescent="0.35">
      <c r="A10" s="104" t="s">
        <v>1548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TRADE LEDGER</vt:lpstr>
      <vt:lpstr>BLOOMBERG MAIN</vt:lpstr>
      <vt:lpstr>EQUITY SCREEN</vt:lpstr>
      <vt:lpstr>RISK MONITOR</vt:lpstr>
      <vt:lpstr>MANAGER ALPHA</vt:lpstr>
      <vt:lpstr>SECTOR INTEL</vt:lpstr>
      <vt:lpstr>ALPHA REPORT</vt:lpstr>
      <vt:lpstr>PIVOT ANALYSIS</vt:lpstr>
      <vt:lpstr>EXECUTIVE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Joydip Ghoshal</cp:lastModifiedBy>
  <dcterms:created xsi:type="dcterms:W3CDTF">2026-06-28T08:08:03Z</dcterms:created>
  <dcterms:modified xsi:type="dcterms:W3CDTF">2026-06-29T06:59:31Z</dcterms:modified>
</cp:coreProperties>
</file>